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rojanpun/Downloads/"/>
    </mc:Choice>
  </mc:AlternateContent>
  <xr:revisionPtr revIDLastSave="0" documentId="13_ncr:1_{01BD0F58-3063-B148-AABB-7BC6C6711C1C}" xr6:coauthVersionLast="47" xr6:coauthVersionMax="47" xr10:uidLastSave="{00000000-0000-0000-0000-000000000000}"/>
  <bookViews>
    <workbookView minimized="1" xWindow="380" yWindow="500" windowWidth="28040" windowHeight="16060" activeTab="2" xr2:uid="{6FF0972E-2161-964C-899F-E5E48280CBD0}"/>
  </bookViews>
  <sheets>
    <sheet name="Sheet1" sheetId="1" r:id="rId1"/>
    <sheet name="Sheet2" sheetId="2" r:id="rId2"/>
    <sheet name="Sheet3" sheetId="7" r:id="rId3"/>
  </sheets>
  <definedNames>
    <definedName name="Slicer_Gender">#N/A</definedName>
  </definedNames>
  <calcPr calcId="191029"/>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 i="7" l="1"/>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3" i="2"/>
  <c r="F2" i="2"/>
  <c r="Q4" i="7" s="1"/>
  <c r="E15" i="2"/>
  <c r="E16" i="2"/>
  <c r="E17" i="2"/>
  <c r="E18" i="2"/>
  <c r="E19" i="2"/>
  <c r="E20" i="2"/>
  <c r="E21" i="2"/>
  <c r="E22" i="2"/>
  <c r="E23" i="2"/>
  <c r="E9" i="2"/>
  <c r="E10" i="2"/>
  <c r="E11" i="2"/>
  <c r="E12" i="2"/>
  <c r="E13" i="2"/>
  <c r="E14" i="2"/>
  <c r="E3" i="2"/>
  <c r="E4" i="2"/>
  <c r="E5" i="2"/>
  <c r="E6" i="2"/>
  <c r="E7" i="2"/>
  <c r="E8"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2"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3" i="2"/>
  <c r="D2"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3" i="2"/>
  <c r="C2" i="2"/>
  <c r="Q5" i="7" s="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3" i="2"/>
  <c r="B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2" i="2"/>
</calcChain>
</file>

<file path=xl/sharedStrings.xml><?xml version="1.0" encoding="utf-8"?>
<sst xmlns="http://schemas.openxmlformats.org/spreadsheetml/2006/main" count="286" uniqueCount="161">
  <si>
    <t>First Name</t>
  </si>
  <si>
    <t>Last Name</t>
  </si>
  <si>
    <t>Gender</t>
  </si>
  <si>
    <t>Age</t>
  </si>
  <si>
    <t>Email</t>
  </si>
  <si>
    <t>Education</t>
  </si>
  <si>
    <t>Salary</t>
  </si>
  <si>
    <t>Daniel</t>
  </si>
  <si>
    <t>Male</t>
  </si>
  <si>
    <t>Robinson</t>
  </si>
  <si>
    <t>Female</t>
  </si>
  <si>
    <t>a.robinson@randatmail.com</t>
  </si>
  <si>
    <t>Elise</t>
  </si>
  <si>
    <t>Carroll</t>
  </si>
  <si>
    <t>Chloe</t>
  </si>
  <si>
    <t>Russell</t>
  </si>
  <si>
    <t>Aida</t>
  </si>
  <si>
    <t>Myers</t>
  </si>
  <si>
    <t>Morris</t>
  </si>
  <si>
    <t>Moore</t>
  </si>
  <si>
    <t>Harrison</t>
  </si>
  <si>
    <t>Davis</t>
  </si>
  <si>
    <t>c.davis@randatmail.com</t>
  </si>
  <si>
    <t>Walker</t>
  </si>
  <si>
    <t>Howard</t>
  </si>
  <si>
    <t>Carter</t>
  </si>
  <si>
    <t>Alexander</t>
  </si>
  <si>
    <t>Armstrong</t>
  </si>
  <si>
    <t>Jack</t>
  </si>
  <si>
    <t>Brooke</t>
  </si>
  <si>
    <t>Morrison</t>
  </si>
  <si>
    <t>Grant</t>
  </si>
  <si>
    <t>Edgar</t>
  </si>
  <si>
    <t>Ross</t>
  </si>
  <si>
    <t>e.ross@randatmail.com</t>
  </si>
  <si>
    <t>Baker</t>
  </si>
  <si>
    <t>Charlotte</t>
  </si>
  <si>
    <t>Eleanor</t>
  </si>
  <si>
    <t>Riley</t>
  </si>
  <si>
    <t>Oscar</t>
  </si>
  <si>
    <t>Alina</t>
  </si>
  <si>
    <t>Aiden</t>
  </si>
  <si>
    <t>a.grant@randatmail.com</t>
  </si>
  <si>
    <t>Spencer</t>
  </si>
  <si>
    <t>Master</t>
  </si>
  <si>
    <t>Upper secondary</t>
  </si>
  <si>
    <t>Doctoral</t>
  </si>
  <si>
    <t>Primary</t>
  </si>
  <si>
    <t>Bachelor</t>
  </si>
  <si>
    <t>Lilianna</t>
  </si>
  <si>
    <t>Morgan</t>
  </si>
  <si>
    <t>Chester</t>
  </si>
  <si>
    <t>Higgins</t>
  </si>
  <si>
    <t>Ellia</t>
  </si>
  <si>
    <t>Sullivan</t>
  </si>
  <si>
    <t>Miller</t>
  </si>
  <si>
    <t>Evelyn</t>
  </si>
  <si>
    <t>Smith</t>
  </si>
  <si>
    <t>Sawyer</t>
  </si>
  <si>
    <t>Ada</t>
  </si>
  <si>
    <t>Lower secondary</t>
  </si>
  <si>
    <t>Harold</t>
  </si>
  <si>
    <t>Cameron</t>
  </si>
  <si>
    <t>Initials</t>
  </si>
  <si>
    <t>Full Name</t>
  </si>
  <si>
    <t>Average Salary</t>
  </si>
  <si>
    <t>Eligible for Social Support Funds</t>
  </si>
  <si>
    <t>Need Special Training (Age &gt; 25)</t>
  </si>
  <si>
    <t>Andrews</t>
  </si>
  <si>
    <t>c.andrews@randatmail.com</t>
  </si>
  <si>
    <t>Crawford</t>
  </si>
  <si>
    <t>e.crawford@randatmail.com</t>
  </si>
  <si>
    <t>m.myers@randatmail.com</t>
  </si>
  <si>
    <t>Brianna</t>
  </si>
  <si>
    <t>b.spencer@randatmail.com</t>
  </si>
  <si>
    <t>Harper</t>
  </si>
  <si>
    <t>s.harper@randatmail.com</t>
  </si>
  <si>
    <t>Abraham</t>
  </si>
  <si>
    <t>a.russell@randatmail.com</t>
  </si>
  <si>
    <t>Lucy</t>
  </si>
  <si>
    <t>l.harrison@randatmail.com</t>
  </si>
  <si>
    <t>Henry</t>
  </si>
  <si>
    <t>h.smith@randatmail.com</t>
  </si>
  <si>
    <t>Jones</t>
  </si>
  <si>
    <t>e.jones@randatmail.com</t>
  </si>
  <si>
    <t>a.davis@randatmail.com</t>
  </si>
  <si>
    <t>Reid</t>
  </si>
  <si>
    <t>r.andrews@randatmail.com</t>
  </si>
  <si>
    <t>Ferguson</t>
  </si>
  <si>
    <t>a.ferguson@randatmail.com</t>
  </si>
  <si>
    <t>Amy</t>
  </si>
  <si>
    <t>Brown</t>
  </si>
  <si>
    <t>a.brown@randatmail.com</t>
  </si>
  <si>
    <t>Anderson</t>
  </si>
  <si>
    <t>e.anderson@randatmail.com</t>
  </si>
  <si>
    <t>Owens</t>
  </si>
  <si>
    <t>e.owens@randatmail.com</t>
  </si>
  <si>
    <t>Thomas</t>
  </si>
  <si>
    <t>c.thomas@randatmail.com</t>
  </si>
  <si>
    <t>l.morris@randatmail.com</t>
  </si>
  <si>
    <t>o.howard@randatmail.com</t>
  </si>
  <si>
    <t>Paul</t>
  </si>
  <si>
    <t>p.morgan@randatmail.com</t>
  </si>
  <si>
    <t>b.walker@randatmail.com</t>
  </si>
  <si>
    <t>a.armstrong@randatmail.com</t>
  </si>
  <si>
    <t>Alfred</t>
  </si>
  <si>
    <t>a.carter@randatmail.com</t>
  </si>
  <si>
    <t>Deanna</t>
  </si>
  <si>
    <t>Hamilton</t>
  </si>
  <si>
    <t>d.hamilton@randatmail.com</t>
  </si>
  <si>
    <t>Kevin</t>
  </si>
  <si>
    <t>k.sullivan@randatmail.com</t>
  </si>
  <si>
    <t>Eddy</t>
  </si>
  <si>
    <t>April</t>
  </si>
  <si>
    <t>a.baker@randatmail.com</t>
  </si>
  <si>
    <t>Ashton</t>
  </si>
  <si>
    <t>a.morrison@randatmail.com</t>
  </si>
  <si>
    <t>Vanessa</t>
  </si>
  <si>
    <t>v.baker@randatmail.com</t>
  </si>
  <si>
    <t>a.cameron@randatmail.com</t>
  </si>
  <si>
    <t>Cooper</t>
  </si>
  <si>
    <t>c.cooper@randatmail.com</t>
  </si>
  <si>
    <t>Connie</t>
  </si>
  <si>
    <t>Grace</t>
  </si>
  <si>
    <t>g.moore@randatmail.com</t>
  </si>
  <si>
    <t>Ryan</t>
  </si>
  <si>
    <t>e.ryan@randatmail.com</t>
  </si>
  <si>
    <t>Melissa</t>
  </si>
  <si>
    <t>Barnes</t>
  </si>
  <si>
    <t>m.barnes@randatmail.com</t>
  </si>
  <si>
    <t>Julia</t>
  </si>
  <si>
    <t>j.ross@randatmail.com</t>
  </si>
  <si>
    <t>Derek</t>
  </si>
  <si>
    <t>d.carroll@randatmail.com</t>
  </si>
  <si>
    <t>Caroline</t>
  </si>
  <si>
    <t>West</t>
  </si>
  <si>
    <t>c.west@randatmail.com</t>
  </si>
  <si>
    <t>d.ross@randatmail.com</t>
  </si>
  <si>
    <t>Ted</t>
  </si>
  <si>
    <t>t.higgins@randatmail.com</t>
  </si>
  <si>
    <t>Tyler</t>
  </si>
  <si>
    <t>t.smith@randatmail.com</t>
  </si>
  <si>
    <t>Alisa</t>
  </si>
  <si>
    <t>e.harrison@randatmail.com</t>
  </si>
  <si>
    <t>Max</t>
  </si>
  <si>
    <t>Kelly</t>
  </si>
  <si>
    <t>m.kelly@randatmail.com</t>
  </si>
  <si>
    <t>e.davis@randatmail.com</t>
  </si>
  <si>
    <t>Gray</t>
  </si>
  <si>
    <t>j.gray@randatmail.com</t>
  </si>
  <si>
    <t>h.riley@randatmail.com</t>
  </si>
  <si>
    <t>Sienna</t>
  </si>
  <si>
    <t>s.higgins@randatmail.com</t>
  </si>
  <si>
    <t>Contact Email</t>
  </si>
  <si>
    <t>Education (Primary)</t>
  </si>
  <si>
    <t>Social Support Eligibility</t>
  </si>
  <si>
    <t>age Over 25?</t>
  </si>
  <si>
    <t>Grand Total</t>
  </si>
  <si>
    <t>Sum of Salary</t>
  </si>
  <si>
    <t>Metric</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</si>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</sst>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theme="1"/>
      <name val="Aptos Narrow"/>
      <family val="2"/>
      <scheme val="minor"/>
    </font>
    <font>
      <sz val="14"/>
      <color rgb="FF959595"/>
      <name val="Arial"/>
      <family val="2"/>
    </font>
    <font>
      <sz val="14"/>
      <color theme="1"/>
      <name val="Arial"/>
      <family val="2"/>
    </font>
    <font>
      <b/>
      <sz val="14"/>
      <color theme="1"/>
      <name val="Aptos Narrow (Body)"/>
    </font>
    <font>
      <b/>
      <sz val="12"/>
      <color rgb="FFFF0000"/>
      <name val="Aptos Narrow"/>
      <family val="2"/>
      <scheme val="minor"/>
    </font>
    <font>
      <b/>
      <sz val="12"/>
      <color rgb="FFFF0000"/>
      <name val="Aptos Narrow"/>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0" xfId="0" applyFont="1"/>
    <xf numFmtId="0" fontId="1" fillId="0" borderId="0" xfId="0" applyFont="1"/>
    <xf numFmtId="0" fontId="3" fillId="0" borderId="0" xfId="0" applyFont="1"/>
    <xf numFmtId="0" fontId="4" fillId="0" borderId="0" xfId="0" applyFont="1" applyAlignment="1">
      <alignment horizontal="center"/>
    </xf>
    <xf numFmtId="0" fontId="3" fillId="0" borderId="0" xfId="0" applyFont="1" applyAlignment="1">
      <alignment horizontal="center"/>
    </xf>
    <xf numFmtId="0" fontId="0" fillId="0" borderId="0" xfId="0" pivotButton="1"/>
    <xf numFmtId="0" fontId="0" fillId="0" borderId="0" xfId="0" applyAlignment="1">
      <alignment horizontal="left"/>
    </xf>
    <xf numFmtId="0" fontId="0" fillId="0" borderId="1" xfId="0" applyBorder="1"/>
    <xf numFmtId="0" fontId="5" fillId="0" borderId="1" xfId="0" applyFont="1" applyBorder="1"/>
    <xf numFmtId="0" fontId="6" fillId="0" borderId="1" xfId="0" applyFont="1" applyBorder="1"/>
    <xf numFmtId="0" fontId="0" fillId="0" borderId="0" xfId="0" applyNumberFormat="1"/>
  </cellXfs>
  <cellStyles count="1">
    <cellStyle name="Normal" xfId="0" builtinId="0"/>
  </cellStyles>
  <dxfs count="17">
    <dxf>
      <font>
        <b val="0"/>
        <i val="0"/>
        <strike val="0"/>
        <condense val="0"/>
        <extend val="0"/>
        <outline val="0"/>
        <shadow val="0"/>
        <u val="none"/>
        <vertAlign val="baseline"/>
        <sz val="14"/>
        <color theme="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alignment horizontal="general" vertical="bottom" textRotation="0" wrapText="0" indent="0" justifyLastLine="0" shrinkToFit="0" readingOrder="0"/>
    </dxf>
    <dxf>
      <font>
        <b/>
        <i val="0"/>
        <strike val="0"/>
        <condense val="0"/>
        <extend val="0"/>
        <outline val="0"/>
        <shadow val="0"/>
        <u val="none"/>
        <vertAlign val="baseline"/>
        <sz val="14"/>
        <color theme="1"/>
        <name val="Aptos Narrow (Body)"/>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4"/>
        <color theme="1"/>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4"/>
        <color theme="1"/>
        <name val="Aptos Narrow (Body)"/>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t>Total Salary by Education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Sheet3!$A$4:$A$10</c:f>
              <c:strCache>
                <c:ptCount val="6"/>
                <c:pt idx="0">
                  <c:v>Bachelor</c:v>
                </c:pt>
                <c:pt idx="1">
                  <c:v>Doctoral</c:v>
                </c:pt>
                <c:pt idx="2">
                  <c:v>Lower secondary</c:v>
                </c:pt>
                <c:pt idx="3">
                  <c:v>Master</c:v>
                </c:pt>
                <c:pt idx="4">
                  <c:v>Primary</c:v>
                </c:pt>
                <c:pt idx="5">
                  <c:v>Upper secondary</c:v>
                </c:pt>
              </c:strCache>
            </c:strRef>
          </c:cat>
          <c:val>
            <c:numRef>
              <c:f>Sheet3!$B$4:$B$10</c:f>
              <c:numCache>
                <c:formatCode>General</c:formatCode>
                <c:ptCount val="6"/>
                <c:pt idx="0">
                  <c:v>68557</c:v>
                </c:pt>
                <c:pt idx="1">
                  <c:v>41018</c:v>
                </c:pt>
                <c:pt idx="2">
                  <c:v>45107</c:v>
                </c:pt>
                <c:pt idx="3">
                  <c:v>40461</c:v>
                </c:pt>
                <c:pt idx="4">
                  <c:v>47427</c:v>
                </c:pt>
                <c:pt idx="5">
                  <c:v>49577</c:v>
                </c:pt>
              </c:numCache>
            </c:numRef>
          </c:val>
          <c:extLst>
            <c:ext xmlns:c16="http://schemas.microsoft.com/office/drawing/2014/chart" uri="{C3380CC4-5D6E-409C-BE32-E72D297353CC}">
              <c16:uniqueId val="{00000000-8996-774C-9D61-EBE627679FC8}"/>
            </c:ext>
          </c:extLst>
        </c:ser>
        <c:dLbls>
          <c:showLegendKey val="0"/>
          <c:showVal val="0"/>
          <c:showCatName val="0"/>
          <c:showSerName val="0"/>
          <c:showPercent val="0"/>
          <c:showBubbleSize val="0"/>
        </c:dLbls>
        <c:gapWidth val="219"/>
        <c:overlap val="-27"/>
        <c:axId val="1259933520"/>
        <c:axId val="882698608"/>
      </c:barChart>
      <c:catAx>
        <c:axId val="1259933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Education</a:t>
                </a:r>
                <a:r>
                  <a:rPr lang="en-GB" baseline="0"/>
                  <a:t> Level</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698608"/>
        <c:crosses val="autoZero"/>
        <c:auto val="1"/>
        <c:lblAlgn val="ctr"/>
        <c:lblOffset val="100"/>
        <c:noMultiLvlLbl val="0"/>
      </c:catAx>
      <c:valAx>
        <c:axId val="882698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Total Salary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93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t>Total Salary by Age (Gender Filter)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Sheet3!$H$3:$H$4</c:f>
              <c:strCache>
                <c:ptCount val="1"/>
                <c:pt idx="0">
                  <c:v>Female</c:v>
                </c:pt>
              </c:strCache>
            </c:strRef>
          </c:tx>
          <c:spPr>
            <a:ln w="28575" cap="rnd">
              <a:solidFill>
                <a:schemeClr val="accent1"/>
              </a:solidFill>
              <a:round/>
            </a:ln>
            <a:effectLst/>
          </c:spPr>
          <c:marker>
            <c:symbol val="none"/>
          </c:marker>
          <c:cat>
            <c:strRef>
              <c:f>Sheet3!$G$5:$G$18</c:f>
              <c:strCache>
                <c:ptCount val="13"/>
                <c:pt idx="0">
                  <c:v>18</c:v>
                </c:pt>
                <c:pt idx="1">
                  <c:v>19</c:v>
                </c:pt>
                <c:pt idx="2">
                  <c:v>20</c:v>
                </c:pt>
                <c:pt idx="3">
                  <c:v>21</c:v>
                </c:pt>
                <c:pt idx="4">
                  <c:v>22</c:v>
                </c:pt>
                <c:pt idx="5">
                  <c:v>23</c:v>
                </c:pt>
                <c:pt idx="6">
                  <c:v>24</c:v>
                </c:pt>
                <c:pt idx="7">
                  <c:v>25</c:v>
                </c:pt>
                <c:pt idx="8">
                  <c:v>26</c:v>
                </c:pt>
                <c:pt idx="9">
                  <c:v>27</c:v>
                </c:pt>
                <c:pt idx="10">
                  <c:v>28</c:v>
                </c:pt>
                <c:pt idx="11">
                  <c:v>29</c:v>
                </c:pt>
                <c:pt idx="12">
                  <c:v>30</c:v>
                </c:pt>
              </c:strCache>
            </c:strRef>
          </c:cat>
          <c:val>
            <c:numRef>
              <c:f>Sheet3!$H$5:$H$18</c:f>
              <c:numCache>
                <c:formatCode>General</c:formatCode>
                <c:ptCount val="13"/>
                <c:pt idx="0">
                  <c:v>24138</c:v>
                </c:pt>
                <c:pt idx="1">
                  <c:v>23804</c:v>
                </c:pt>
                <c:pt idx="2">
                  <c:v>20636</c:v>
                </c:pt>
                <c:pt idx="3">
                  <c:v>13414</c:v>
                </c:pt>
                <c:pt idx="4">
                  <c:v>6234</c:v>
                </c:pt>
                <c:pt idx="6">
                  <c:v>10930</c:v>
                </c:pt>
                <c:pt idx="7">
                  <c:v>7275</c:v>
                </c:pt>
                <c:pt idx="8">
                  <c:v>17759</c:v>
                </c:pt>
                <c:pt idx="9">
                  <c:v>14567</c:v>
                </c:pt>
                <c:pt idx="10">
                  <c:v>8070</c:v>
                </c:pt>
                <c:pt idx="11">
                  <c:v>9027</c:v>
                </c:pt>
                <c:pt idx="12">
                  <c:v>17447</c:v>
                </c:pt>
              </c:numCache>
            </c:numRef>
          </c:val>
          <c:smooth val="0"/>
          <c:extLst>
            <c:ext xmlns:c16="http://schemas.microsoft.com/office/drawing/2014/chart" uri="{C3380CC4-5D6E-409C-BE32-E72D297353CC}">
              <c16:uniqueId val="{00000000-C4F9-DD4B-B3EB-A4905C16FA76}"/>
            </c:ext>
          </c:extLst>
        </c:ser>
        <c:ser>
          <c:idx val="1"/>
          <c:order val="1"/>
          <c:tx>
            <c:strRef>
              <c:f>Sheet3!$I$3:$I$4</c:f>
              <c:strCache>
                <c:ptCount val="1"/>
                <c:pt idx="0">
                  <c:v>Male</c:v>
                </c:pt>
              </c:strCache>
            </c:strRef>
          </c:tx>
          <c:spPr>
            <a:ln w="28575" cap="rnd">
              <a:solidFill>
                <a:schemeClr val="accent2"/>
              </a:solidFill>
              <a:round/>
            </a:ln>
            <a:effectLst/>
          </c:spPr>
          <c:marker>
            <c:symbol val="none"/>
          </c:marker>
          <c:cat>
            <c:strRef>
              <c:f>Sheet3!$G$5:$G$18</c:f>
              <c:strCache>
                <c:ptCount val="13"/>
                <c:pt idx="0">
                  <c:v>18</c:v>
                </c:pt>
                <c:pt idx="1">
                  <c:v>19</c:v>
                </c:pt>
                <c:pt idx="2">
                  <c:v>20</c:v>
                </c:pt>
                <c:pt idx="3">
                  <c:v>21</c:v>
                </c:pt>
                <c:pt idx="4">
                  <c:v>22</c:v>
                </c:pt>
                <c:pt idx="5">
                  <c:v>23</c:v>
                </c:pt>
                <c:pt idx="6">
                  <c:v>24</c:v>
                </c:pt>
                <c:pt idx="7">
                  <c:v>25</c:v>
                </c:pt>
                <c:pt idx="8">
                  <c:v>26</c:v>
                </c:pt>
                <c:pt idx="9">
                  <c:v>27</c:v>
                </c:pt>
                <c:pt idx="10">
                  <c:v>28</c:v>
                </c:pt>
                <c:pt idx="11">
                  <c:v>29</c:v>
                </c:pt>
                <c:pt idx="12">
                  <c:v>30</c:v>
                </c:pt>
              </c:strCache>
            </c:strRef>
          </c:cat>
          <c:val>
            <c:numRef>
              <c:f>Sheet3!$I$5:$I$18</c:f>
              <c:numCache>
                <c:formatCode>General</c:formatCode>
                <c:ptCount val="13"/>
                <c:pt idx="0">
                  <c:v>15000</c:v>
                </c:pt>
                <c:pt idx="1">
                  <c:v>1896</c:v>
                </c:pt>
                <c:pt idx="3">
                  <c:v>11394</c:v>
                </c:pt>
                <c:pt idx="4">
                  <c:v>12228</c:v>
                </c:pt>
                <c:pt idx="5">
                  <c:v>6839</c:v>
                </c:pt>
                <c:pt idx="7">
                  <c:v>18214</c:v>
                </c:pt>
                <c:pt idx="8">
                  <c:v>1272</c:v>
                </c:pt>
                <c:pt idx="9">
                  <c:v>8133</c:v>
                </c:pt>
                <c:pt idx="10">
                  <c:v>15831</c:v>
                </c:pt>
                <c:pt idx="11">
                  <c:v>15550</c:v>
                </c:pt>
                <c:pt idx="12">
                  <c:v>12489</c:v>
                </c:pt>
              </c:numCache>
            </c:numRef>
          </c:val>
          <c:smooth val="0"/>
          <c:extLst>
            <c:ext xmlns:c16="http://schemas.microsoft.com/office/drawing/2014/chart" uri="{C3380CC4-5D6E-409C-BE32-E72D297353CC}">
              <c16:uniqueId val="{00000001-100A-BF47-8135-DC0003459F99}"/>
            </c:ext>
          </c:extLst>
        </c:ser>
        <c:dLbls>
          <c:showLegendKey val="0"/>
          <c:showVal val="0"/>
          <c:showCatName val="0"/>
          <c:showSerName val="0"/>
          <c:showPercent val="0"/>
          <c:showBubbleSize val="0"/>
        </c:dLbls>
        <c:smooth val="0"/>
        <c:axId val="2116257264"/>
        <c:axId val="2117013936"/>
      </c:lineChart>
      <c:catAx>
        <c:axId val="2116257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1000" b="0" i="0" u="none" strike="noStrike" baseline="0"/>
                  <a:t>Age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013936"/>
        <c:crosses val="autoZero"/>
        <c:auto val="1"/>
        <c:lblAlgn val="ctr"/>
        <c:lblOffset val="100"/>
        <c:noMultiLvlLbl val="0"/>
      </c:catAx>
      <c:valAx>
        <c:axId val="2117013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sz="1000" b="0" i="0" u="none" strike="noStrike" baseline="0"/>
                  <a:t>Total Salary</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25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76200</xdr:colOff>
      <xdr:row>11</xdr:row>
      <xdr:rowOff>76200</xdr:rowOff>
    </xdr:from>
    <xdr:to>
      <xdr:col>4</xdr:col>
      <xdr:colOff>723900</xdr:colOff>
      <xdr:row>24</xdr:row>
      <xdr:rowOff>177800</xdr:rowOff>
    </xdr:to>
    <xdr:graphicFrame macro="">
      <xdr:nvGraphicFramePr>
        <xdr:cNvPr id="2" name="Chart 1">
          <a:extLst>
            <a:ext uri="{FF2B5EF4-FFF2-40B4-BE49-F238E27FC236}">
              <a16:creationId xmlns:a16="http://schemas.microsoft.com/office/drawing/2014/main" id="{456CD3F3-6E1B-7B1F-53BA-29B15CA47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723900</xdr:colOff>
      <xdr:row>1</xdr:row>
      <xdr:rowOff>190500</xdr:rowOff>
    </xdr:from>
    <xdr:to>
      <xdr:col>13</xdr:col>
      <xdr:colOff>76200</xdr:colOff>
      <xdr:row>14</xdr:row>
      <xdr:rowOff>168272</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7F63A6F0-0675-CDFD-2CE3-BEB9DF374A5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080500" y="393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698500</xdr:colOff>
      <xdr:row>18</xdr:row>
      <xdr:rowOff>190500</xdr:rowOff>
    </xdr:from>
    <xdr:to>
      <xdr:col>11</xdr:col>
      <xdr:colOff>609600</xdr:colOff>
      <xdr:row>32</xdr:row>
      <xdr:rowOff>88900</xdr:rowOff>
    </xdr:to>
    <xdr:graphicFrame macro="">
      <xdr:nvGraphicFramePr>
        <xdr:cNvPr id="5" name="Chart 4">
          <a:extLst>
            <a:ext uri="{FF2B5EF4-FFF2-40B4-BE49-F238E27FC236}">
              <a16:creationId xmlns:a16="http://schemas.microsoft.com/office/drawing/2014/main" id="{08AA6387-D740-BF19-3A26-37CF2D5AB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777.788003240741" createdVersion="8" refreshedVersion="8" minRefreshableVersion="3" recordCount="50" xr:uid="{AB1A7601-3B1B-4340-9FDA-75B0178AD32E}">
  <cacheSource type="worksheet">
    <worksheetSource name="Table12"/>
  </cacheSource>
  <cacheFields count="7">
    <cacheField name="First Name" numFmtId="0">
      <sharedItems/>
    </cacheField>
    <cacheField name="Last Name" numFmtId="0">
      <sharedItems/>
    </cacheField>
    <cacheField name="Gender" numFmtId="0">
      <sharedItems count="2">
        <s v="Male"/>
        <s v="Female"/>
      </sharedItems>
    </cacheField>
    <cacheField name="Age" numFmtId="0">
      <sharedItems containsSemiMixedTypes="0" containsString="0" containsNumber="1" containsInteger="1" minValue="18" maxValue="30" count="13">
        <n v="29"/>
        <n v="24"/>
        <n v="21"/>
        <n v="20"/>
        <n v="18"/>
        <n v="19"/>
        <n v="25"/>
        <n v="28"/>
        <n v="22"/>
        <n v="30"/>
        <n v="27"/>
        <n v="26"/>
        <n v="23"/>
      </sharedItems>
    </cacheField>
    <cacheField name="Email" numFmtId="0">
      <sharedItems/>
    </cacheField>
    <cacheField name="Education" numFmtId="0">
      <sharedItems count="6">
        <s v="Bachelor"/>
        <s v="Doctoral"/>
        <s v="Lower secondary"/>
        <s v="Master"/>
        <s v="Primary"/>
        <s v="Upper secondary"/>
      </sharedItems>
    </cacheField>
    <cacheField name="Salary" numFmtId="0">
      <sharedItems containsSemiMixedTypes="0" containsString="0" containsNumber="1" containsInteger="1" minValue="972" maxValue="9970"/>
    </cacheField>
  </cacheFields>
  <extLst>
    <ext xmlns:x14="http://schemas.microsoft.com/office/spreadsheetml/2009/9/main" uri="{725AE2AE-9491-48be-B2B4-4EB974FC3084}">
      <x14:pivotCacheDefinition pivotCacheId="1694941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Chester"/>
    <s v="Andrews"/>
    <x v="0"/>
    <x v="0"/>
    <s v="c.andrews@randatmail.com"/>
    <x v="0"/>
    <n v="5405"/>
  </r>
  <r>
    <s v="Eleanor"/>
    <s v="Crawford"/>
    <x v="1"/>
    <x v="1"/>
    <s v="e.crawford@randatmail.com"/>
    <x v="1"/>
    <n v="5882"/>
  </r>
  <r>
    <s v="Miller"/>
    <s v="Myers"/>
    <x v="0"/>
    <x v="2"/>
    <s v="m.myers@randatmail.com"/>
    <x v="0"/>
    <n v="3721"/>
  </r>
  <r>
    <s v="Brianna"/>
    <s v="Spencer"/>
    <x v="1"/>
    <x v="3"/>
    <s v="b.spencer@randatmail.com"/>
    <x v="2"/>
    <n v="8207"/>
  </r>
  <r>
    <s v="Sawyer"/>
    <s v="Harper"/>
    <x v="0"/>
    <x v="2"/>
    <s v="s.harper@randatmail.com"/>
    <x v="1"/>
    <n v="7673"/>
  </r>
  <r>
    <s v="Abraham"/>
    <s v="Russell"/>
    <x v="0"/>
    <x v="4"/>
    <s v="a.russell@randatmail.com"/>
    <x v="3"/>
    <n v="9770"/>
  </r>
  <r>
    <s v="Lucy"/>
    <s v="Harrison"/>
    <x v="1"/>
    <x v="5"/>
    <s v="l.harrison@randatmail.com"/>
    <x v="1"/>
    <n v="7942"/>
  </r>
  <r>
    <s v="Henry"/>
    <s v="Smith"/>
    <x v="0"/>
    <x v="6"/>
    <s v="h.smith@randatmail.com"/>
    <x v="4"/>
    <n v="3260"/>
  </r>
  <r>
    <s v="Edgar"/>
    <s v="Jones"/>
    <x v="0"/>
    <x v="7"/>
    <s v="e.jones@randatmail.com"/>
    <x v="2"/>
    <n v="972"/>
  </r>
  <r>
    <s v="Aiden"/>
    <s v="Davis"/>
    <x v="0"/>
    <x v="0"/>
    <s v="a.davis@randatmail.com"/>
    <x v="1"/>
    <n v="2644"/>
  </r>
  <r>
    <s v="Reid"/>
    <s v="Andrews"/>
    <x v="0"/>
    <x v="8"/>
    <s v="r.andrews@randatmail.com"/>
    <x v="5"/>
    <n v="3545"/>
  </r>
  <r>
    <s v="Aida"/>
    <s v="Ferguson"/>
    <x v="1"/>
    <x v="3"/>
    <s v="a.ferguson@randatmail.com"/>
    <x v="2"/>
    <n v="9854"/>
  </r>
  <r>
    <s v="Amy"/>
    <s v="Brown"/>
    <x v="1"/>
    <x v="4"/>
    <s v="a.brown@randatmail.com"/>
    <x v="5"/>
    <n v="6048"/>
  </r>
  <r>
    <s v="Evelyn"/>
    <s v="Anderson"/>
    <x v="1"/>
    <x v="9"/>
    <s v="e.anderson@randatmail.com"/>
    <x v="4"/>
    <n v="9811"/>
  </r>
  <r>
    <s v="Eleanor"/>
    <s v="Owens"/>
    <x v="1"/>
    <x v="0"/>
    <s v="e.owens@randatmail.com"/>
    <x v="1"/>
    <n v="9027"/>
  </r>
  <r>
    <s v="Ada"/>
    <s v="Ferguson"/>
    <x v="1"/>
    <x v="8"/>
    <s v="a.ferguson@randatmail.com"/>
    <x v="2"/>
    <n v="6234"/>
  </r>
  <r>
    <s v="Charlotte"/>
    <s v="Thomas"/>
    <x v="1"/>
    <x v="2"/>
    <s v="c.thomas@randatmail.com"/>
    <x v="3"/>
    <n v="9365"/>
  </r>
  <r>
    <s v="Lilianna"/>
    <s v="Morris"/>
    <x v="1"/>
    <x v="5"/>
    <s v="l.morris@randatmail.com"/>
    <x v="4"/>
    <n v="5499"/>
  </r>
  <r>
    <s v="Oscar"/>
    <s v="Howard"/>
    <x v="0"/>
    <x v="6"/>
    <s v="o.howard@randatmail.com"/>
    <x v="4"/>
    <n v="7857"/>
  </r>
  <r>
    <s v="Paul"/>
    <s v="Morgan"/>
    <x v="0"/>
    <x v="7"/>
    <s v="p.morgan@randatmail.com"/>
    <x v="4"/>
    <n v="9186"/>
  </r>
  <r>
    <s v="Brooke"/>
    <s v="Walker"/>
    <x v="1"/>
    <x v="10"/>
    <s v="b.walker@randatmail.com"/>
    <x v="5"/>
    <n v="9133"/>
  </r>
  <r>
    <s v="Alina"/>
    <s v="Armstrong"/>
    <x v="1"/>
    <x v="5"/>
    <s v="a.armstrong@randatmail.com"/>
    <x v="0"/>
    <n v="5524"/>
  </r>
  <r>
    <s v="Alfred"/>
    <s v="Carter"/>
    <x v="0"/>
    <x v="0"/>
    <s v="a.carter@randatmail.com"/>
    <x v="1"/>
    <n v="5355"/>
  </r>
  <r>
    <s v="Deanna"/>
    <s v="Hamilton"/>
    <x v="1"/>
    <x v="4"/>
    <s v="d.hamilton@randatmail.com"/>
    <x v="0"/>
    <n v="3348"/>
  </r>
  <r>
    <s v="Kevin"/>
    <s v="Sullivan"/>
    <x v="0"/>
    <x v="0"/>
    <s v="k.sullivan@randatmail.com"/>
    <x v="5"/>
    <n v="2146"/>
  </r>
  <r>
    <s v="Eddy"/>
    <s v="Ross"/>
    <x v="0"/>
    <x v="9"/>
    <s v="e.ross@randatmail.com"/>
    <x v="5"/>
    <n v="4269"/>
  </r>
  <r>
    <s v="April"/>
    <s v="Baker"/>
    <x v="1"/>
    <x v="3"/>
    <s v="a.baker@randatmail.com"/>
    <x v="2"/>
    <n v="2575"/>
  </r>
  <r>
    <s v="Harold"/>
    <s v="Smith"/>
    <x v="0"/>
    <x v="11"/>
    <s v="h.smith@randatmail.com"/>
    <x v="4"/>
    <n v="1272"/>
  </r>
  <r>
    <s v="Ashton"/>
    <s v="Morrison"/>
    <x v="0"/>
    <x v="4"/>
    <s v="a.morrison@randatmail.com"/>
    <x v="1"/>
    <n v="2495"/>
  </r>
  <r>
    <s v="Vanessa"/>
    <s v="Baker"/>
    <x v="1"/>
    <x v="5"/>
    <s v="v.baker@randatmail.com"/>
    <x v="2"/>
    <n v="4839"/>
  </r>
  <r>
    <s v="April"/>
    <s v="Cameron"/>
    <x v="1"/>
    <x v="2"/>
    <s v="a.cameron@randatmail.com"/>
    <x v="0"/>
    <n v="4049"/>
  </r>
  <r>
    <s v="Chloe"/>
    <s v="Cooper"/>
    <x v="1"/>
    <x v="7"/>
    <s v="c.cooper@randatmail.com"/>
    <x v="0"/>
    <n v="8070"/>
  </r>
  <r>
    <s v="Connie"/>
    <s v="Davis"/>
    <x v="1"/>
    <x v="4"/>
    <s v="c.davis@randatmail.com"/>
    <x v="3"/>
    <n v="5192"/>
  </r>
  <r>
    <s v="Grace"/>
    <s v="Moore"/>
    <x v="1"/>
    <x v="6"/>
    <s v="g.moore@randatmail.com"/>
    <x v="0"/>
    <n v="7275"/>
  </r>
  <r>
    <s v="Elise"/>
    <s v="Ryan"/>
    <x v="1"/>
    <x v="9"/>
    <s v="e.ryan@randatmail.com"/>
    <x v="4"/>
    <n v="6579"/>
  </r>
  <r>
    <s v="Melissa"/>
    <s v="Barnes"/>
    <x v="1"/>
    <x v="11"/>
    <s v="m.barnes@randatmail.com"/>
    <x v="0"/>
    <n v="9970"/>
  </r>
  <r>
    <s v="Julia"/>
    <s v="Ross"/>
    <x v="1"/>
    <x v="1"/>
    <s v="j.ross@randatmail.com"/>
    <x v="3"/>
    <n v="5048"/>
  </r>
  <r>
    <s v="Derek"/>
    <s v="Carroll"/>
    <x v="0"/>
    <x v="9"/>
    <s v="d.carroll@randatmail.com"/>
    <x v="2"/>
    <n v="4257"/>
  </r>
  <r>
    <s v="Caroline"/>
    <s v="West"/>
    <x v="1"/>
    <x v="9"/>
    <s v="c.west@randatmail.com"/>
    <x v="3"/>
    <n v="1057"/>
  </r>
  <r>
    <s v="Daniel"/>
    <s v="Ross"/>
    <x v="0"/>
    <x v="12"/>
    <s v="d.ross@randatmail.com"/>
    <x v="0"/>
    <n v="6839"/>
  </r>
  <r>
    <s v="Ted"/>
    <s v="Higgins"/>
    <x v="0"/>
    <x v="6"/>
    <s v="t.higgins@randatmail.com"/>
    <x v="5"/>
    <n v="7097"/>
  </r>
  <r>
    <s v="Tyler"/>
    <s v="Smith"/>
    <x v="0"/>
    <x v="5"/>
    <s v="t.smith@randatmail.com"/>
    <x v="3"/>
    <n v="1896"/>
  </r>
  <r>
    <s v="Alisa"/>
    <s v="Robinson"/>
    <x v="1"/>
    <x v="4"/>
    <s v="a.robinson@randatmail.com"/>
    <x v="5"/>
    <n v="9550"/>
  </r>
  <r>
    <s v="Eddy"/>
    <s v="Harrison"/>
    <x v="0"/>
    <x v="4"/>
    <s v="e.harrison@randatmail.com"/>
    <x v="2"/>
    <n v="2735"/>
  </r>
  <r>
    <s v="Max"/>
    <s v="Kelly"/>
    <x v="0"/>
    <x v="7"/>
    <s v="m.kelly@randatmail.com"/>
    <x v="0"/>
    <n v="5673"/>
  </r>
  <r>
    <s v="Ellia"/>
    <s v="Davis"/>
    <x v="1"/>
    <x v="10"/>
    <s v="e.davis@randatmail.com"/>
    <x v="2"/>
    <n v="5434"/>
  </r>
  <r>
    <s v="Jack"/>
    <s v="Gray"/>
    <x v="0"/>
    <x v="10"/>
    <s v="j.gray@randatmail.com"/>
    <x v="3"/>
    <n v="8133"/>
  </r>
  <r>
    <s v="Alexander"/>
    <s v="Grant"/>
    <x v="0"/>
    <x v="8"/>
    <s v="a.grant@randatmail.com"/>
    <x v="0"/>
    <n v="8683"/>
  </r>
  <r>
    <s v="Henry"/>
    <s v="Riley"/>
    <x v="0"/>
    <x v="9"/>
    <s v="h.riley@randatmail.com"/>
    <x v="4"/>
    <n v="3963"/>
  </r>
  <r>
    <s v="Sienna"/>
    <s v="Higgins"/>
    <x v="1"/>
    <x v="11"/>
    <s v="s.higgins@randatmail.com"/>
    <x v="5"/>
    <n v="77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44D9C6-1F6C-344C-9AFB-F8A43D5DDEE7}"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Age" colHeaderCaption="Gender">
  <location ref="G3:J18" firstHeaderRow="1" firstDataRow="2" firstDataCol="1"/>
  <pivotFields count="7">
    <pivotField showAll="0"/>
    <pivotField showAll="0"/>
    <pivotField axis="axisCol" showAll="0">
      <items count="3">
        <item x="1"/>
        <item x="0"/>
        <item t="default"/>
      </items>
    </pivotField>
    <pivotField axis="axisRow" showAll="0">
      <items count="14">
        <item x="4"/>
        <item x="5"/>
        <item x="3"/>
        <item x="2"/>
        <item x="8"/>
        <item x="12"/>
        <item x="1"/>
        <item x="6"/>
        <item x="11"/>
        <item x="10"/>
        <item x="7"/>
        <item x="0"/>
        <item x="9"/>
        <item t="default"/>
      </items>
    </pivotField>
    <pivotField showAll="0"/>
    <pivotField showAll="0"/>
    <pivotField dataField="1" showAll="0"/>
  </pivotFields>
  <rowFields count="1">
    <field x="3"/>
  </rowFields>
  <rowItems count="14">
    <i>
      <x/>
    </i>
    <i>
      <x v="1"/>
    </i>
    <i>
      <x v="2"/>
    </i>
    <i>
      <x v="3"/>
    </i>
    <i>
      <x v="4"/>
    </i>
    <i>
      <x v="5"/>
    </i>
    <i>
      <x v="6"/>
    </i>
    <i>
      <x v="7"/>
    </i>
    <i>
      <x v="8"/>
    </i>
    <i>
      <x v="9"/>
    </i>
    <i>
      <x v="10"/>
    </i>
    <i>
      <x v="11"/>
    </i>
    <i>
      <x v="12"/>
    </i>
    <i t="grand">
      <x/>
    </i>
  </rowItems>
  <colFields count="1">
    <field x="2"/>
  </colFields>
  <colItems count="3">
    <i>
      <x/>
    </i>
    <i>
      <x v="1"/>
    </i>
    <i t="grand">
      <x/>
    </i>
  </colItems>
  <dataFields count="1">
    <dataField name="Sum of Salary" fld="6"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5A6525-6A35-0341-8775-18BD2E21D3A0}"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Education">
  <location ref="A3:B10" firstHeaderRow="1" firstDataRow="1" firstDataCol="1"/>
  <pivotFields count="7">
    <pivotField showAll="0"/>
    <pivotField showAll="0"/>
    <pivotField showAll="0"/>
    <pivotField showAll="0"/>
    <pivotField showAll="0"/>
    <pivotField axis="axisRow" showAll="0">
      <items count="7">
        <item x="0"/>
        <item x="1"/>
        <item x="2"/>
        <item x="3"/>
        <item x="4"/>
        <item x="5"/>
        <item t="default"/>
      </items>
    </pivotField>
    <pivotField dataField="1" showAll="0"/>
  </pivotFields>
  <rowFields count="1">
    <field x="5"/>
  </rowFields>
  <rowItems count="7">
    <i>
      <x/>
    </i>
    <i>
      <x v="1"/>
    </i>
    <i>
      <x v="2"/>
    </i>
    <i>
      <x v="3"/>
    </i>
    <i>
      <x v="4"/>
    </i>
    <i>
      <x v="5"/>
    </i>
    <i t="grand">
      <x/>
    </i>
  </rowItems>
  <colItems count="1">
    <i/>
  </colItems>
  <dataFields count="1">
    <dataField name="Sum of Salary"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5DB8E76-992F-B04C-9B6F-A279F8EDA393}" sourceName="Gender">
  <pivotTables>
    <pivotTable tabId="7" name="PivotTable2"/>
  </pivotTables>
  <data>
    <tabular pivotCacheId="169494174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F4962EA-6323-624A-BDB0-4C62D84C6E17}" cache="Slicer_Gender" caption="Gende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69EF396-124E-2D4F-9217-FC64ABE77726}" name="Table12" displayName="Table12" ref="A1:G51" totalsRowShown="0" headerRowDxfId="16" dataDxfId="15">
  <autoFilter ref="A1:G51" xr:uid="{869EF396-124E-2D4F-9217-FC64ABE77726}"/>
  <tableColumns count="7">
    <tableColumn id="1" xr3:uid="{B1B3BD1F-788E-2245-AB41-497FFD2E00C6}" name="First Name" dataDxfId="14"/>
    <tableColumn id="2" xr3:uid="{EFB05CE5-4D12-6D4A-8A8B-0152A174F402}" name="Last Name" dataDxfId="13"/>
    <tableColumn id="3" xr3:uid="{8563D788-5301-C146-A91F-71F89E5F5A8C}" name="Gender" dataDxfId="12"/>
    <tableColumn id="4" xr3:uid="{DAED2A2A-3D20-F045-BD42-4C23CB1D343A}" name="Age" dataDxfId="11"/>
    <tableColumn id="5" xr3:uid="{A4FEA376-3DCD-FD4E-850F-51777C1CC99E}" name="Email" dataDxfId="10"/>
    <tableColumn id="6" xr3:uid="{FB9915D5-21D2-D644-A1B5-C3FA7726E14A}" name="Education" dataDxfId="9"/>
    <tableColumn id="7" xr3:uid="{F84CEA41-C555-AC43-8FB7-940B82117774}" name="Salary"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F31D2F1-3F33-7148-9A93-3A0254F3AC85}" name="Table13" displayName="Table13" ref="A1:F52" totalsRowShown="0" headerRowDxfId="7" dataDxfId="6">
  <autoFilter ref="A1:F52" xr:uid="{9F31D2F1-3F33-7148-9A93-3A0254F3AC85}"/>
  <tableColumns count="6">
    <tableColumn id="1" xr3:uid="{CD7E3B8C-F8DE-BB46-A0F9-9212802007F1}" name="Full Name" dataDxfId="5">
      <calculatedColumnFormula>Sheet1!A2 &amp; " " &amp; Sheet1!B2</calculatedColumnFormula>
    </tableColumn>
    <tableColumn id="2" xr3:uid="{A3768148-706A-0E47-87A2-486D48FD3E2A}" name="Initials" dataDxfId="4"/>
    <tableColumn id="3" xr3:uid="{E3B92991-F0A2-F743-B87C-407E32B6813E}" name="age Over 25?" dataDxfId="3"/>
    <tableColumn id="4" xr3:uid="{6057E7F2-D571-BF4E-B672-BA9AF56BC874}" name="Contact Email" dataDxfId="2"/>
    <tableColumn id="5" xr3:uid="{6F77DC8E-1590-9144-B256-B447B47D9496}" name="Education (Primary)" dataDxfId="1"/>
    <tableColumn id="6" xr3:uid="{1AAF3B4D-8C69-A94C-810C-8CE07F3F233A}" name="Social Support Eligibil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6F777-6F4F-D240-BC5C-D920D1426978}">
  <dimension ref="A1:G52"/>
  <sheetViews>
    <sheetView workbookViewId="0">
      <selection activeCell="J26" sqref="J26"/>
    </sheetView>
  </sheetViews>
  <sheetFormatPr baseColWidth="10" defaultRowHeight="16" x14ac:dyDescent="0.2"/>
  <cols>
    <col min="1" max="1" width="14" customWidth="1"/>
    <col min="2" max="2" width="13.5" customWidth="1"/>
    <col min="3" max="4" width="10.83203125" customWidth="1"/>
    <col min="5" max="5" width="44.1640625" customWidth="1"/>
    <col min="6" max="6" width="30.6640625" customWidth="1"/>
    <col min="7" max="7" width="10.83203125" customWidth="1"/>
  </cols>
  <sheetData>
    <row r="1" spans="1:7" ht="19" x14ac:dyDescent="0.25">
      <c r="A1" s="4" t="s">
        <v>0</v>
      </c>
      <c r="B1" s="4" t="s">
        <v>1</v>
      </c>
      <c r="C1" s="4" t="s">
        <v>2</v>
      </c>
      <c r="D1" s="4" t="s">
        <v>3</v>
      </c>
      <c r="E1" s="4" t="s">
        <v>4</v>
      </c>
      <c r="F1" s="4" t="s">
        <v>5</v>
      </c>
      <c r="G1" s="4" t="s">
        <v>6</v>
      </c>
    </row>
    <row r="2" spans="1:7" ht="18" x14ac:dyDescent="0.2">
      <c r="A2" s="5" t="s">
        <v>51</v>
      </c>
      <c r="B2" s="5" t="s">
        <v>68</v>
      </c>
      <c r="C2" s="5" t="s">
        <v>8</v>
      </c>
      <c r="D2" s="5">
        <v>29</v>
      </c>
      <c r="E2" s="5" t="s">
        <v>69</v>
      </c>
      <c r="F2" s="5" t="s">
        <v>48</v>
      </c>
      <c r="G2" s="5">
        <v>5405</v>
      </c>
    </row>
    <row r="3" spans="1:7" ht="18" x14ac:dyDescent="0.2">
      <c r="A3" s="5" t="s">
        <v>37</v>
      </c>
      <c r="B3" s="5" t="s">
        <v>70</v>
      </c>
      <c r="C3" s="5" t="s">
        <v>10</v>
      </c>
      <c r="D3" s="5">
        <v>24</v>
      </c>
      <c r="E3" s="5" t="s">
        <v>71</v>
      </c>
      <c r="F3" s="5" t="s">
        <v>46</v>
      </c>
      <c r="G3" s="5">
        <v>5882</v>
      </c>
    </row>
    <row r="4" spans="1:7" ht="18" x14ac:dyDescent="0.2">
      <c r="A4" s="5" t="s">
        <v>55</v>
      </c>
      <c r="B4" s="5" t="s">
        <v>17</v>
      </c>
      <c r="C4" s="5" t="s">
        <v>8</v>
      </c>
      <c r="D4" s="5">
        <v>21</v>
      </c>
      <c r="E4" s="5" t="s">
        <v>72</v>
      </c>
      <c r="F4" s="5" t="s">
        <v>48</v>
      </c>
      <c r="G4" s="5">
        <v>3721</v>
      </c>
    </row>
    <row r="5" spans="1:7" ht="18" x14ac:dyDescent="0.2">
      <c r="A5" s="5" t="s">
        <v>73</v>
      </c>
      <c r="B5" s="5" t="s">
        <v>43</v>
      </c>
      <c r="C5" s="5" t="s">
        <v>10</v>
      </c>
      <c r="D5" s="5">
        <v>20</v>
      </c>
      <c r="E5" s="5" t="s">
        <v>74</v>
      </c>
      <c r="F5" s="5" t="s">
        <v>60</v>
      </c>
      <c r="G5" s="5">
        <v>8207</v>
      </c>
    </row>
    <row r="6" spans="1:7" ht="18" x14ac:dyDescent="0.2">
      <c r="A6" s="5" t="s">
        <v>58</v>
      </c>
      <c r="B6" s="5" t="s">
        <v>75</v>
      </c>
      <c r="C6" s="5" t="s">
        <v>8</v>
      </c>
      <c r="D6" s="5">
        <v>21</v>
      </c>
      <c r="E6" s="5" t="s">
        <v>76</v>
      </c>
      <c r="F6" s="5" t="s">
        <v>46</v>
      </c>
      <c r="G6" s="5">
        <v>7673</v>
      </c>
    </row>
    <row r="7" spans="1:7" ht="18" x14ac:dyDescent="0.2">
      <c r="A7" s="5" t="s">
        <v>77</v>
      </c>
      <c r="B7" s="5" t="s">
        <v>15</v>
      </c>
      <c r="C7" s="5" t="s">
        <v>8</v>
      </c>
      <c r="D7" s="5">
        <v>18</v>
      </c>
      <c r="E7" s="5" t="s">
        <v>78</v>
      </c>
      <c r="F7" s="5" t="s">
        <v>44</v>
      </c>
      <c r="G7" s="5">
        <v>9770</v>
      </c>
    </row>
    <row r="8" spans="1:7" ht="18" x14ac:dyDescent="0.2">
      <c r="A8" s="5" t="s">
        <v>79</v>
      </c>
      <c r="B8" s="5" t="s">
        <v>20</v>
      </c>
      <c r="C8" s="5" t="s">
        <v>10</v>
      </c>
      <c r="D8" s="5">
        <v>19</v>
      </c>
      <c r="E8" s="5" t="s">
        <v>80</v>
      </c>
      <c r="F8" s="5" t="s">
        <v>46</v>
      </c>
      <c r="G8" s="5">
        <v>7942</v>
      </c>
    </row>
    <row r="9" spans="1:7" ht="18" x14ac:dyDescent="0.2">
      <c r="A9" s="5" t="s">
        <v>81</v>
      </c>
      <c r="B9" s="5" t="s">
        <v>57</v>
      </c>
      <c r="C9" s="5" t="s">
        <v>8</v>
      </c>
      <c r="D9" s="5">
        <v>25</v>
      </c>
      <c r="E9" s="5" t="s">
        <v>82</v>
      </c>
      <c r="F9" s="5" t="s">
        <v>47</v>
      </c>
      <c r="G9" s="5">
        <v>3260</v>
      </c>
    </row>
    <row r="10" spans="1:7" ht="18" x14ac:dyDescent="0.2">
      <c r="A10" s="5" t="s">
        <v>32</v>
      </c>
      <c r="B10" s="5" t="s">
        <v>83</v>
      </c>
      <c r="C10" s="5" t="s">
        <v>8</v>
      </c>
      <c r="D10" s="5">
        <v>28</v>
      </c>
      <c r="E10" s="5" t="s">
        <v>84</v>
      </c>
      <c r="F10" s="5" t="s">
        <v>60</v>
      </c>
      <c r="G10" s="5">
        <v>972</v>
      </c>
    </row>
    <row r="11" spans="1:7" ht="18" x14ac:dyDescent="0.2">
      <c r="A11" s="5" t="s">
        <v>41</v>
      </c>
      <c r="B11" s="5" t="s">
        <v>21</v>
      </c>
      <c r="C11" s="5" t="s">
        <v>8</v>
      </c>
      <c r="D11" s="5">
        <v>29</v>
      </c>
      <c r="E11" s="5" t="s">
        <v>85</v>
      </c>
      <c r="F11" s="5" t="s">
        <v>46</v>
      </c>
      <c r="G11" s="5">
        <v>2644</v>
      </c>
    </row>
    <row r="12" spans="1:7" ht="18" x14ac:dyDescent="0.2">
      <c r="A12" s="5" t="s">
        <v>86</v>
      </c>
      <c r="B12" s="5" t="s">
        <v>68</v>
      </c>
      <c r="C12" s="5" t="s">
        <v>8</v>
      </c>
      <c r="D12" s="5">
        <v>22</v>
      </c>
      <c r="E12" s="5" t="s">
        <v>87</v>
      </c>
      <c r="F12" s="5" t="s">
        <v>45</v>
      </c>
      <c r="G12" s="5">
        <v>3545</v>
      </c>
    </row>
    <row r="13" spans="1:7" ht="18" x14ac:dyDescent="0.2">
      <c r="A13" s="5" t="s">
        <v>16</v>
      </c>
      <c r="B13" s="5" t="s">
        <v>88</v>
      </c>
      <c r="C13" s="5" t="s">
        <v>10</v>
      </c>
      <c r="D13" s="5">
        <v>20</v>
      </c>
      <c r="E13" s="5" t="s">
        <v>89</v>
      </c>
      <c r="F13" s="5" t="s">
        <v>60</v>
      </c>
      <c r="G13" s="5">
        <v>9854</v>
      </c>
    </row>
    <row r="14" spans="1:7" ht="18" x14ac:dyDescent="0.2">
      <c r="A14" s="5" t="s">
        <v>90</v>
      </c>
      <c r="B14" s="5" t="s">
        <v>91</v>
      </c>
      <c r="C14" s="5" t="s">
        <v>10</v>
      </c>
      <c r="D14" s="5">
        <v>18</v>
      </c>
      <c r="E14" s="5" t="s">
        <v>92</v>
      </c>
      <c r="F14" s="5" t="s">
        <v>45</v>
      </c>
      <c r="G14" s="5">
        <v>6048</v>
      </c>
    </row>
    <row r="15" spans="1:7" ht="18" x14ac:dyDescent="0.2">
      <c r="A15" s="5" t="s">
        <v>56</v>
      </c>
      <c r="B15" s="5" t="s">
        <v>93</v>
      </c>
      <c r="C15" s="5" t="s">
        <v>10</v>
      </c>
      <c r="D15" s="5">
        <v>30</v>
      </c>
      <c r="E15" s="5" t="s">
        <v>94</v>
      </c>
      <c r="F15" s="5" t="s">
        <v>47</v>
      </c>
      <c r="G15" s="5">
        <v>9811</v>
      </c>
    </row>
    <row r="16" spans="1:7" ht="18" x14ac:dyDescent="0.2">
      <c r="A16" s="5" t="s">
        <v>37</v>
      </c>
      <c r="B16" s="5" t="s">
        <v>95</v>
      </c>
      <c r="C16" s="5" t="s">
        <v>10</v>
      </c>
      <c r="D16" s="5">
        <v>29</v>
      </c>
      <c r="E16" s="5" t="s">
        <v>96</v>
      </c>
      <c r="F16" s="5" t="s">
        <v>46</v>
      </c>
      <c r="G16" s="5">
        <v>9027</v>
      </c>
    </row>
    <row r="17" spans="1:7" ht="18" x14ac:dyDescent="0.2">
      <c r="A17" s="5" t="s">
        <v>59</v>
      </c>
      <c r="B17" s="5" t="s">
        <v>88</v>
      </c>
      <c r="C17" s="5" t="s">
        <v>10</v>
      </c>
      <c r="D17" s="5">
        <v>22</v>
      </c>
      <c r="E17" s="5" t="s">
        <v>89</v>
      </c>
      <c r="F17" s="5" t="s">
        <v>60</v>
      </c>
      <c r="G17" s="5">
        <v>6234</v>
      </c>
    </row>
    <row r="18" spans="1:7" ht="18" x14ac:dyDescent="0.2">
      <c r="A18" s="5" t="s">
        <v>36</v>
      </c>
      <c r="B18" s="5" t="s">
        <v>97</v>
      </c>
      <c r="C18" s="5" t="s">
        <v>10</v>
      </c>
      <c r="D18" s="5">
        <v>21</v>
      </c>
      <c r="E18" s="5" t="s">
        <v>98</v>
      </c>
      <c r="F18" s="5" t="s">
        <v>44</v>
      </c>
      <c r="G18" s="5">
        <v>9365</v>
      </c>
    </row>
    <row r="19" spans="1:7" ht="18" x14ac:dyDescent="0.2">
      <c r="A19" s="5" t="s">
        <v>49</v>
      </c>
      <c r="B19" s="5" t="s">
        <v>18</v>
      </c>
      <c r="C19" s="5" t="s">
        <v>10</v>
      </c>
      <c r="D19" s="5">
        <v>19</v>
      </c>
      <c r="E19" s="5" t="s">
        <v>99</v>
      </c>
      <c r="F19" s="5" t="s">
        <v>47</v>
      </c>
      <c r="G19" s="5">
        <v>5499</v>
      </c>
    </row>
    <row r="20" spans="1:7" ht="18" x14ac:dyDescent="0.2">
      <c r="A20" s="5" t="s">
        <v>39</v>
      </c>
      <c r="B20" s="5" t="s">
        <v>24</v>
      </c>
      <c r="C20" s="5" t="s">
        <v>8</v>
      </c>
      <c r="D20" s="5">
        <v>25</v>
      </c>
      <c r="E20" s="5" t="s">
        <v>100</v>
      </c>
      <c r="F20" s="5" t="s">
        <v>47</v>
      </c>
      <c r="G20" s="5">
        <v>7857</v>
      </c>
    </row>
    <row r="21" spans="1:7" ht="18" x14ac:dyDescent="0.2">
      <c r="A21" s="5" t="s">
        <v>101</v>
      </c>
      <c r="B21" s="5" t="s">
        <v>50</v>
      </c>
      <c r="C21" s="5" t="s">
        <v>8</v>
      </c>
      <c r="D21" s="5">
        <v>28</v>
      </c>
      <c r="E21" s="5" t="s">
        <v>102</v>
      </c>
      <c r="F21" s="5" t="s">
        <v>47</v>
      </c>
      <c r="G21" s="5">
        <v>9186</v>
      </c>
    </row>
    <row r="22" spans="1:7" ht="18" x14ac:dyDescent="0.2">
      <c r="A22" s="5" t="s">
        <v>29</v>
      </c>
      <c r="B22" s="5" t="s">
        <v>23</v>
      </c>
      <c r="C22" s="5" t="s">
        <v>10</v>
      </c>
      <c r="D22" s="5">
        <v>27</v>
      </c>
      <c r="E22" s="5" t="s">
        <v>103</v>
      </c>
      <c r="F22" s="5" t="s">
        <v>45</v>
      </c>
      <c r="G22" s="5">
        <v>9133</v>
      </c>
    </row>
    <row r="23" spans="1:7" ht="18" x14ac:dyDescent="0.2">
      <c r="A23" s="5" t="s">
        <v>40</v>
      </c>
      <c r="B23" s="5" t="s">
        <v>27</v>
      </c>
      <c r="C23" s="5" t="s">
        <v>10</v>
      </c>
      <c r="D23" s="5">
        <v>19</v>
      </c>
      <c r="E23" s="5" t="s">
        <v>104</v>
      </c>
      <c r="F23" s="5" t="s">
        <v>48</v>
      </c>
      <c r="G23" s="5">
        <v>5524</v>
      </c>
    </row>
    <row r="24" spans="1:7" ht="18" x14ac:dyDescent="0.2">
      <c r="A24" s="5" t="s">
        <v>105</v>
      </c>
      <c r="B24" s="5" t="s">
        <v>25</v>
      </c>
      <c r="C24" s="5" t="s">
        <v>8</v>
      </c>
      <c r="D24" s="5">
        <v>29</v>
      </c>
      <c r="E24" s="5" t="s">
        <v>106</v>
      </c>
      <c r="F24" s="5" t="s">
        <v>46</v>
      </c>
      <c r="G24" s="5">
        <v>5355</v>
      </c>
    </row>
    <row r="25" spans="1:7" ht="18" x14ac:dyDescent="0.2">
      <c r="A25" s="5" t="s">
        <v>107</v>
      </c>
      <c r="B25" s="5" t="s">
        <v>108</v>
      </c>
      <c r="C25" s="5" t="s">
        <v>10</v>
      </c>
      <c r="D25" s="5">
        <v>18</v>
      </c>
      <c r="E25" s="5" t="s">
        <v>109</v>
      </c>
      <c r="F25" s="5" t="s">
        <v>48</v>
      </c>
      <c r="G25" s="5">
        <v>3348</v>
      </c>
    </row>
    <row r="26" spans="1:7" ht="18" x14ac:dyDescent="0.2">
      <c r="A26" s="5" t="s">
        <v>110</v>
      </c>
      <c r="B26" s="5" t="s">
        <v>54</v>
      </c>
      <c r="C26" s="5" t="s">
        <v>8</v>
      </c>
      <c r="D26" s="5">
        <v>29</v>
      </c>
      <c r="E26" s="5" t="s">
        <v>111</v>
      </c>
      <c r="F26" s="5" t="s">
        <v>45</v>
      </c>
      <c r="G26" s="5">
        <v>2146</v>
      </c>
    </row>
    <row r="27" spans="1:7" ht="18" x14ac:dyDescent="0.2">
      <c r="A27" s="5" t="s">
        <v>112</v>
      </c>
      <c r="B27" s="5" t="s">
        <v>33</v>
      </c>
      <c r="C27" s="5" t="s">
        <v>8</v>
      </c>
      <c r="D27" s="5">
        <v>30</v>
      </c>
      <c r="E27" s="5" t="s">
        <v>34</v>
      </c>
      <c r="F27" s="5" t="s">
        <v>45</v>
      </c>
      <c r="G27" s="5">
        <v>4269</v>
      </c>
    </row>
    <row r="28" spans="1:7" ht="18" x14ac:dyDescent="0.2">
      <c r="A28" s="5" t="s">
        <v>113</v>
      </c>
      <c r="B28" s="5" t="s">
        <v>35</v>
      </c>
      <c r="C28" s="5" t="s">
        <v>10</v>
      </c>
      <c r="D28" s="5">
        <v>20</v>
      </c>
      <c r="E28" s="5" t="s">
        <v>114</v>
      </c>
      <c r="F28" s="5" t="s">
        <v>60</v>
      </c>
      <c r="G28" s="5">
        <v>2575</v>
      </c>
    </row>
    <row r="29" spans="1:7" ht="18" x14ac:dyDescent="0.2">
      <c r="A29" s="5" t="s">
        <v>61</v>
      </c>
      <c r="B29" s="5" t="s">
        <v>57</v>
      </c>
      <c r="C29" s="5" t="s">
        <v>8</v>
      </c>
      <c r="D29" s="5">
        <v>26</v>
      </c>
      <c r="E29" s="5" t="s">
        <v>82</v>
      </c>
      <c r="F29" s="5" t="s">
        <v>47</v>
      </c>
      <c r="G29" s="5">
        <v>1272</v>
      </c>
    </row>
    <row r="30" spans="1:7" ht="18" x14ac:dyDescent="0.2">
      <c r="A30" s="5" t="s">
        <v>115</v>
      </c>
      <c r="B30" s="5" t="s">
        <v>30</v>
      </c>
      <c r="C30" s="5" t="s">
        <v>8</v>
      </c>
      <c r="D30" s="5">
        <v>18</v>
      </c>
      <c r="E30" s="5" t="s">
        <v>116</v>
      </c>
      <c r="F30" s="5" t="s">
        <v>46</v>
      </c>
      <c r="G30" s="5">
        <v>2495</v>
      </c>
    </row>
    <row r="31" spans="1:7" ht="18" x14ac:dyDescent="0.2">
      <c r="A31" s="5" t="s">
        <v>117</v>
      </c>
      <c r="B31" s="5" t="s">
        <v>35</v>
      </c>
      <c r="C31" s="5" t="s">
        <v>10</v>
      </c>
      <c r="D31" s="5">
        <v>19</v>
      </c>
      <c r="E31" s="5" t="s">
        <v>118</v>
      </c>
      <c r="F31" s="5" t="s">
        <v>60</v>
      </c>
      <c r="G31" s="5">
        <v>4839</v>
      </c>
    </row>
    <row r="32" spans="1:7" ht="18" x14ac:dyDescent="0.2">
      <c r="A32" s="5" t="s">
        <v>113</v>
      </c>
      <c r="B32" s="5" t="s">
        <v>62</v>
      </c>
      <c r="C32" s="5" t="s">
        <v>10</v>
      </c>
      <c r="D32" s="5">
        <v>21</v>
      </c>
      <c r="E32" s="5" t="s">
        <v>119</v>
      </c>
      <c r="F32" s="5" t="s">
        <v>48</v>
      </c>
      <c r="G32" s="5">
        <v>4049</v>
      </c>
    </row>
    <row r="33" spans="1:7" ht="18" x14ac:dyDescent="0.2">
      <c r="A33" s="5" t="s">
        <v>14</v>
      </c>
      <c r="B33" s="5" t="s">
        <v>120</v>
      </c>
      <c r="C33" s="5" t="s">
        <v>10</v>
      </c>
      <c r="D33" s="5">
        <v>28</v>
      </c>
      <c r="E33" s="5" t="s">
        <v>121</v>
      </c>
      <c r="F33" s="5" t="s">
        <v>48</v>
      </c>
      <c r="G33" s="5">
        <v>8070</v>
      </c>
    </row>
    <row r="34" spans="1:7" ht="18" x14ac:dyDescent="0.2">
      <c r="A34" s="5" t="s">
        <v>122</v>
      </c>
      <c r="B34" s="5" t="s">
        <v>21</v>
      </c>
      <c r="C34" s="5" t="s">
        <v>10</v>
      </c>
      <c r="D34" s="5">
        <v>18</v>
      </c>
      <c r="E34" s="5" t="s">
        <v>22</v>
      </c>
      <c r="F34" s="5" t="s">
        <v>44</v>
      </c>
      <c r="G34" s="5">
        <v>5192</v>
      </c>
    </row>
    <row r="35" spans="1:7" ht="18" x14ac:dyDescent="0.2">
      <c r="A35" s="5" t="s">
        <v>123</v>
      </c>
      <c r="B35" s="5" t="s">
        <v>19</v>
      </c>
      <c r="C35" s="5" t="s">
        <v>10</v>
      </c>
      <c r="D35" s="5">
        <v>25</v>
      </c>
      <c r="E35" s="5" t="s">
        <v>124</v>
      </c>
      <c r="F35" s="5" t="s">
        <v>48</v>
      </c>
      <c r="G35" s="5">
        <v>7275</v>
      </c>
    </row>
    <row r="36" spans="1:7" ht="18" x14ac:dyDescent="0.2">
      <c r="A36" s="5" t="s">
        <v>12</v>
      </c>
      <c r="B36" s="5" t="s">
        <v>125</v>
      </c>
      <c r="C36" s="5" t="s">
        <v>10</v>
      </c>
      <c r="D36" s="5">
        <v>30</v>
      </c>
      <c r="E36" s="5" t="s">
        <v>126</v>
      </c>
      <c r="F36" s="5" t="s">
        <v>47</v>
      </c>
      <c r="G36" s="5">
        <v>6579</v>
      </c>
    </row>
    <row r="37" spans="1:7" ht="18" x14ac:dyDescent="0.2">
      <c r="A37" s="5" t="s">
        <v>127</v>
      </c>
      <c r="B37" s="5" t="s">
        <v>128</v>
      </c>
      <c r="C37" s="5" t="s">
        <v>10</v>
      </c>
      <c r="D37" s="5">
        <v>26</v>
      </c>
      <c r="E37" s="5" t="s">
        <v>129</v>
      </c>
      <c r="F37" s="5" t="s">
        <v>48</v>
      </c>
      <c r="G37" s="5">
        <v>9970</v>
      </c>
    </row>
    <row r="38" spans="1:7" ht="18" x14ac:dyDescent="0.2">
      <c r="A38" s="5" t="s">
        <v>130</v>
      </c>
      <c r="B38" s="5" t="s">
        <v>33</v>
      </c>
      <c r="C38" s="5" t="s">
        <v>10</v>
      </c>
      <c r="D38" s="5">
        <v>24</v>
      </c>
      <c r="E38" s="5" t="s">
        <v>131</v>
      </c>
      <c r="F38" s="5" t="s">
        <v>44</v>
      </c>
      <c r="G38" s="5">
        <v>5048</v>
      </c>
    </row>
    <row r="39" spans="1:7" ht="18" x14ac:dyDescent="0.2">
      <c r="A39" s="5" t="s">
        <v>132</v>
      </c>
      <c r="B39" s="5" t="s">
        <v>13</v>
      </c>
      <c r="C39" s="5" t="s">
        <v>8</v>
      </c>
      <c r="D39" s="5">
        <v>30</v>
      </c>
      <c r="E39" s="5" t="s">
        <v>133</v>
      </c>
      <c r="F39" s="5" t="s">
        <v>60</v>
      </c>
      <c r="G39" s="5">
        <v>4257</v>
      </c>
    </row>
    <row r="40" spans="1:7" ht="18" x14ac:dyDescent="0.2">
      <c r="A40" s="5" t="s">
        <v>134</v>
      </c>
      <c r="B40" s="5" t="s">
        <v>135</v>
      </c>
      <c r="C40" s="5" t="s">
        <v>10</v>
      </c>
      <c r="D40" s="5">
        <v>30</v>
      </c>
      <c r="E40" s="5" t="s">
        <v>136</v>
      </c>
      <c r="F40" s="5" t="s">
        <v>44</v>
      </c>
      <c r="G40" s="5">
        <v>1057</v>
      </c>
    </row>
    <row r="41" spans="1:7" ht="18" x14ac:dyDescent="0.2">
      <c r="A41" s="5" t="s">
        <v>7</v>
      </c>
      <c r="B41" s="5" t="s">
        <v>33</v>
      </c>
      <c r="C41" s="5" t="s">
        <v>8</v>
      </c>
      <c r="D41" s="5">
        <v>23</v>
      </c>
      <c r="E41" s="5" t="s">
        <v>137</v>
      </c>
      <c r="F41" s="5" t="s">
        <v>48</v>
      </c>
      <c r="G41" s="5">
        <v>6839</v>
      </c>
    </row>
    <row r="42" spans="1:7" ht="18" x14ac:dyDescent="0.2">
      <c r="A42" s="5" t="s">
        <v>138</v>
      </c>
      <c r="B42" s="5" t="s">
        <v>52</v>
      </c>
      <c r="C42" s="5" t="s">
        <v>8</v>
      </c>
      <c r="D42" s="5">
        <v>25</v>
      </c>
      <c r="E42" s="5" t="s">
        <v>139</v>
      </c>
      <c r="F42" s="5" t="s">
        <v>45</v>
      </c>
      <c r="G42" s="5">
        <v>7097</v>
      </c>
    </row>
    <row r="43" spans="1:7" ht="18" x14ac:dyDescent="0.2">
      <c r="A43" s="5" t="s">
        <v>140</v>
      </c>
      <c r="B43" s="5" t="s">
        <v>57</v>
      </c>
      <c r="C43" s="5" t="s">
        <v>8</v>
      </c>
      <c r="D43" s="5">
        <v>19</v>
      </c>
      <c r="E43" s="5" t="s">
        <v>141</v>
      </c>
      <c r="F43" s="5" t="s">
        <v>44</v>
      </c>
      <c r="G43" s="5">
        <v>1896</v>
      </c>
    </row>
    <row r="44" spans="1:7" ht="18" x14ac:dyDescent="0.2">
      <c r="A44" s="5" t="s">
        <v>142</v>
      </c>
      <c r="B44" s="5" t="s">
        <v>9</v>
      </c>
      <c r="C44" s="5" t="s">
        <v>10</v>
      </c>
      <c r="D44" s="5">
        <v>18</v>
      </c>
      <c r="E44" s="5" t="s">
        <v>11</v>
      </c>
      <c r="F44" s="5" t="s">
        <v>45</v>
      </c>
      <c r="G44" s="5">
        <v>9550</v>
      </c>
    </row>
    <row r="45" spans="1:7" ht="18" x14ac:dyDescent="0.2">
      <c r="A45" s="5" t="s">
        <v>112</v>
      </c>
      <c r="B45" s="5" t="s">
        <v>20</v>
      </c>
      <c r="C45" s="5" t="s">
        <v>8</v>
      </c>
      <c r="D45" s="5">
        <v>18</v>
      </c>
      <c r="E45" s="5" t="s">
        <v>143</v>
      </c>
      <c r="F45" s="5" t="s">
        <v>60</v>
      </c>
      <c r="G45" s="5">
        <v>2735</v>
      </c>
    </row>
    <row r="46" spans="1:7" ht="18" x14ac:dyDescent="0.2">
      <c r="A46" s="5" t="s">
        <v>144</v>
      </c>
      <c r="B46" s="5" t="s">
        <v>145</v>
      </c>
      <c r="C46" s="5" t="s">
        <v>8</v>
      </c>
      <c r="D46" s="5">
        <v>28</v>
      </c>
      <c r="E46" s="5" t="s">
        <v>146</v>
      </c>
      <c r="F46" s="5" t="s">
        <v>48</v>
      </c>
      <c r="G46" s="5">
        <v>5673</v>
      </c>
    </row>
    <row r="47" spans="1:7" ht="18" x14ac:dyDescent="0.2">
      <c r="A47" s="5" t="s">
        <v>53</v>
      </c>
      <c r="B47" s="5" t="s">
        <v>21</v>
      </c>
      <c r="C47" s="5" t="s">
        <v>10</v>
      </c>
      <c r="D47" s="5">
        <v>27</v>
      </c>
      <c r="E47" s="5" t="s">
        <v>147</v>
      </c>
      <c r="F47" s="5" t="s">
        <v>60</v>
      </c>
      <c r="G47" s="5">
        <v>5434</v>
      </c>
    </row>
    <row r="48" spans="1:7" ht="18" x14ac:dyDescent="0.2">
      <c r="A48" s="5" t="s">
        <v>28</v>
      </c>
      <c r="B48" s="5" t="s">
        <v>148</v>
      </c>
      <c r="C48" s="5" t="s">
        <v>8</v>
      </c>
      <c r="D48" s="5">
        <v>27</v>
      </c>
      <c r="E48" s="5" t="s">
        <v>149</v>
      </c>
      <c r="F48" s="5" t="s">
        <v>44</v>
      </c>
      <c r="G48" s="5">
        <v>8133</v>
      </c>
    </row>
    <row r="49" spans="1:7" ht="18" x14ac:dyDescent="0.2">
      <c r="A49" s="5" t="s">
        <v>26</v>
      </c>
      <c r="B49" s="5" t="s">
        <v>31</v>
      </c>
      <c r="C49" s="5" t="s">
        <v>8</v>
      </c>
      <c r="D49" s="5">
        <v>22</v>
      </c>
      <c r="E49" s="5" t="s">
        <v>42</v>
      </c>
      <c r="F49" s="5" t="s">
        <v>48</v>
      </c>
      <c r="G49" s="5">
        <v>8683</v>
      </c>
    </row>
    <row r="50" spans="1:7" ht="18" x14ac:dyDescent="0.2">
      <c r="A50" s="5" t="s">
        <v>81</v>
      </c>
      <c r="B50" s="5" t="s">
        <v>38</v>
      </c>
      <c r="C50" s="5" t="s">
        <v>8</v>
      </c>
      <c r="D50" s="5">
        <v>30</v>
      </c>
      <c r="E50" s="5" t="s">
        <v>150</v>
      </c>
      <c r="F50" s="5" t="s">
        <v>47</v>
      </c>
      <c r="G50" s="5">
        <v>3963</v>
      </c>
    </row>
    <row r="51" spans="1:7" ht="18" x14ac:dyDescent="0.2">
      <c r="A51" s="5" t="s">
        <v>151</v>
      </c>
      <c r="B51" s="5" t="s">
        <v>52</v>
      </c>
      <c r="C51" s="5" t="s">
        <v>10</v>
      </c>
      <c r="D51" s="5">
        <v>26</v>
      </c>
      <c r="E51" s="5" t="s">
        <v>152</v>
      </c>
      <c r="F51" s="5" t="s">
        <v>45</v>
      </c>
      <c r="G51" s="5">
        <v>7789</v>
      </c>
    </row>
    <row r="52" spans="1:7" ht="18" x14ac:dyDescent="0.2">
      <c r="A52" s="1"/>
      <c r="B52" s="1"/>
      <c r="C52" s="1"/>
      <c r="D52" s="1"/>
      <c r="E52" s="1"/>
      <c r="F52" s="1"/>
      <c r="G52"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C905B-6A60-C948-B688-BE567FE53BDC}">
  <dimension ref="A1:G52"/>
  <sheetViews>
    <sheetView topLeftCell="A4" workbookViewId="0">
      <selection activeCell="F2" sqref="F2"/>
    </sheetView>
  </sheetViews>
  <sheetFormatPr baseColWidth="10" defaultRowHeight="16" x14ac:dyDescent="0.2"/>
  <cols>
    <col min="1" max="1" width="21.83203125" customWidth="1"/>
    <col min="3" max="3" width="15.6640625" customWidth="1"/>
    <col min="4" max="4" width="33.83203125" customWidth="1"/>
    <col min="5" max="5" width="35.1640625" customWidth="1"/>
    <col min="6" max="6" width="37.83203125" customWidth="1"/>
    <col min="7" max="7" width="16.1640625" customWidth="1"/>
  </cols>
  <sheetData>
    <row r="1" spans="1:7" ht="19" x14ac:dyDescent="0.25">
      <c r="A1" s="4" t="s">
        <v>64</v>
      </c>
      <c r="B1" s="4" t="s">
        <v>63</v>
      </c>
      <c r="C1" s="4" t="s">
        <v>156</v>
      </c>
      <c r="D1" s="4" t="s">
        <v>153</v>
      </c>
      <c r="E1" s="4" t="s">
        <v>154</v>
      </c>
      <c r="F1" s="4" t="s">
        <v>155</v>
      </c>
      <c r="G1" s="2"/>
    </row>
    <row r="2" spans="1:7" ht="18" x14ac:dyDescent="0.2">
      <c r="A2" s="3" t="str">
        <f>Sheet1!A2 &amp; " " &amp; Sheet1!B2</f>
        <v>Chester Andrews</v>
      </c>
      <c r="B2" s="3" t="str">
        <f>LEFT(Sheet1!A2,1) &amp; LEFT(Sheet1!B2,1)</f>
        <v>CA</v>
      </c>
      <c r="C2" s="3" t="str">
        <f>IF(Sheet1!D2&gt;25, "Yes", "No")</f>
        <v>Yes</v>
      </c>
      <c r="D2" s="3" t="str">
        <f>IF(Sheet1!D2&gt;25, Sheet1!E2, "None Applicable")</f>
        <v>c.andrews@randatmail.com</v>
      </c>
      <c r="E2" s="3" t="str">
        <f>IF(LOWER(Sheet1!F2)="primary", "Primary", "")</f>
        <v/>
      </c>
      <c r="F2" s="3" t="str">
        <f>IF(AND(Sheet1!C2="Female", Sheet1!D2=30), "Eligible for social support funds", "Not applicable")</f>
        <v>Not applicable</v>
      </c>
      <c r="G2" s="1"/>
    </row>
    <row r="3" spans="1:7" ht="18" x14ac:dyDescent="0.2">
      <c r="A3" s="3" t="str">
        <f>Sheet1!A3 &amp; " " &amp; Sheet1!B3</f>
        <v>Eleanor Crawford</v>
      </c>
      <c r="B3" s="3" t="str">
        <f>LEFT(Sheet1!A3,1) &amp; LEFT(Sheet1!B3,1)</f>
        <v>EC</v>
      </c>
      <c r="C3" s="3" t="str">
        <f>IF(Sheet1!D3&gt;25, "Yes", "No")</f>
        <v>No</v>
      </c>
      <c r="D3" s="3" t="str">
        <f>IF(Sheet1!D3&gt;25, Sheet1!E3, "None Applicable")</f>
        <v>None Applicable</v>
      </c>
      <c r="E3" s="3" t="str">
        <f>IF(LOWER(Sheet1!F3)="primary", "Primary", "")</f>
        <v/>
      </c>
      <c r="F3" s="3" t="str">
        <f>IF(AND(Sheet1!C3="Female", Sheet1!D3=30), "Eligible for social support funds", "Not applicable")</f>
        <v>Not applicable</v>
      </c>
      <c r="G3" s="1"/>
    </row>
    <row r="4" spans="1:7" ht="18" x14ac:dyDescent="0.2">
      <c r="A4" s="3" t="str">
        <f>Sheet1!A4 &amp; " " &amp; Sheet1!B4</f>
        <v>Miller Myers</v>
      </c>
      <c r="B4" s="3" t="str">
        <f>LEFT(Sheet1!A4,1) &amp; LEFT(Sheet1!B4,1)</f>
        <v>MM</v>
      </c>
      <c r="C4" s="3" t="str">
        <f>IF(Sheet1!D4&gt;25, "Yes", "No")</f>
        <v>No</v>
      </c>
      <c r="D4" s="3" t="str">
        <f>IF(Sheet1!D4&gt;25, Sheet1!E4, "None Applicable")</f>
        <v>None Applicable</v>
      </c>
      <c r="E4" s="3" t="str">
        <f>IF(LOWER(Sheet1!F4)="primary", "Primary", "")</f>
        <v/>
      </c>
      <c r="F4" s="3" t="str">
        <f>IF(AND(Sheet1!C4="Female", Sheet1!D4=30), "Eligible for social support funds", "Not applicable")</f>
        <v>Not applicable</v>
      </c>
      <c r="G4" s="1"/>
    </row>
    <row r="5" spans="1:7" ht="18" x14ac:dyDescent="0.2">
      <c r="A5" s="3" t="str">
        <f>Sheet1!A5 &amp; " " &amp; Sheet1!B5</f>
        <v>Brianna Spencer</v>
      </c>
      <c r="B5" s="3" t="str">
        <f>LEFT(Sheet1!A5,1) &amp; LEFT(Sheet1!B5,1)</f>
        <v>BS</v>
      </c>
      <c r="C5" s="3" t="str">
        <f>IF(Sheet1!D5&gt;25, "Yes", "No")</f>
        <v>No</v>
      </c>
      <c r="D5" s="3" t="str">
        <f>IF(Sheet1!D5&gt;25, Sheet1!E5, "None Applicable")</f>
        <v>None Applicable</v>
      </c>
      <c r="E5" s="3" t="str">
        <f>IF(LOWER(Sheet1!F5)="primary", "Primary", "")</f>
        <v/>
      </c>
      <c r="F5" s="3" t="str">
        <f>IF(AND(Sheet1!C5="Female", Sheet1!D5=30), "Eligible for social support funds", "Not applicable")</f>
        <v>Not applicable</v>
      </c>
      <c r="G5" s="1"/>
    </row>
    <row r="6" spans="1:7" ht="18" x14ac:dyDescent="0.2">
      <c r="A6" s="3" t="str">
        <f>Sheet1!A6 &amp; " " &amp; Sheet1!B6</f>
        <v>Sawyer Harper</v>
      </c>
      <c r="B6" s="3" t="str">
        <f>LEFT(Sheet1!A6,1) &amp; LEFT(Sheet1!B6,1)</f>
        <v>SH</v>
      </c>
      <c r="C6" s="3" t="str">
        <f>IF(Sheet1!D6&gt;25, "Yes", "No")</f>
        <v>No</v>
      </c>
      <c r="D6" s="3" t="str">
        <f>IF(Sheet1!D6&gt;25, Sheet1!E6, "None Applicable")</f>
        <v>None Applicable</v>
      </c>
      <c r="E6" s="3" t="str">
        <f>IF(LOWER(Sheet1!F6)="primary", "Primary", "")</f>
        <v/>
      </c>
      <c r="F6" s="3" t="str">
        <f>IF(AND(Sheet1!C6="Female", Sheet1!D6=30), "Eligible for social support funds", "Not applicable")</f>
        <v>Not applicable</v>
      </c>
      <c r="G6" s="1"/>
    </row>
    <row r="7" spans="1:7" ht="18" x14ac:dyDescent="0.2">
      <c r="A7" s="3" t="str">
        <f>Sheet1!A7 &amp; " " &amp; Sheet1!B7</f>
        <v>Abraham Russell</v>
      </c>
      <c r="B7" s="3" t="str">
        <f>LEFT(Sheet1!A7,1) &amp; LEFT(Sheet1!B7,1)</f>
        <v>AR</v>
      </c>
      <c r="C7" s="3" t="str">
        <f>IF(Sheet1!D7&gt;25, "Yes", "No")</f>
        <v>No</v>
      </c>
      <c r="D7" s="3" t="str">
        <f>IF(Sheet1!D7&gt;25, Sheet1!E7, "None Applicable")</f>
        <v>None Applicable</v>
      </c>
      <c r="E7" s="3" t="str">
        <f>IF(LOWER(Sheet1!F7)="primary", "Primary", "")</f>
        <v/>
      </c>
      <c r="F7" s="3" t="str">
        <f>IF(AND(Sheet1!C7="Female", Sheet1!D7=30), "Eligible for social support funds", "Not applicable")</f>
        <v>Not applicable</v>
      </c>
      <c r="G7" s="1"/>
    </row>
    <row r="8" spans="1:7" ht="18" x14ac:dyDescent="0.2">
      <c r="A8" s="3" t="str">
        <f>Sheet1!A8 &amp; " " &amp; Sheet1!B8</f>
        <v>Lucy Harrison</v>
      </c>
      <c r="B8" s="3" t="str">
        <f>LEFT(Sheet1!A8,1) &amp; LEFT(Sheet1!B8,1)</f>
        <v>LH</v>
      </c>
      <c r="C8" s="3" t="str">
        <f>IF(Sheet1!D8&gt;25, "Yes", "No")</f>
        <v>No</v>
      </c>
      <c r="D8" s="3" t="str">
        <f>IF(Sheet1!D8&gt;25, Sheet1!E8, "None Applicable")</f>
        <v>None Applicable</v>
      </c>
      <c r="E8" s="3" t="str">
        <f>IF(LOWER(Sheet1!F8)="primary", "Primary", "")</f>
        <v/>
      </c>
      <c r="F8" s="3" t="str">
        <f>IF(AND(Sheet1!C8="Female", Sheet1!D8=30), "Eligible for social support funds", "Not applicable")</f>
        <v>Not applicable</v>
      </c>
      <c r="G8" s="1"/>
    </row>
    <row r="9" spans="1:7" ht="18" x14ac:dyDescent="0.2">
      <c r="A9" s="3" t="str">
        <f>Sheet1!A9 &amp; " " &amp; Sheet1!B9</f>
        <v>Henry Smith</v>
      </c>
      <c r="B9" s="3" t="str">
        <f>LEFT(Sheet1!A9,1) &amp; LEFT(Sheet1!B9,1)</f>
        <v>HS</v>
      </c>
      <c r="C9" s="3" t="str">
        <f>IF(Sheet1!D9&gt;25, "Yes", "No")</f>
        <v>No</v>
      </c>
      <c r="D9" s="3" t="str">
        <f>IF(Sheet1!D9&gt;25, Sheet1!E9, "None Applicable")</f>
        <v>None Applicable</v>
      </c>
      <c r="E9" s="3" t="str">
        <f>IF(LOWER(Sheet1!F9)="primary", "Primary", "")</f>
        <v>Primary</v>
      </c>
      <c r="F9" s="3" t="str">
        <f>IF(AND(Sheet1!C9="Female", Sheet1!D9=30), "Eligible for social support funds", "Not applicable")</f>
        <v>Not applicable</v>
      </c>
      <c r="G9" s="1"/>
    </row>
    <row r="10" spans="1:7" ht="18" x14ac:dyDescent="0.2">
      <c r="A10" s="3" t="str">
        <f>Sheet1!A10 &amp; " " &amp; Sheet1!B10</f>
        <v>Edgar Jones</v>
      </c>
      <c r="B10" s="3" t="str">
        <f>LEFT(Sheet1!A10,1) &amp; LEFT(Sheet1!B10,1)</f>
        <v>EJ</v>
      </c>
      <c r="C10" s="3" t="str">
        <f>IF(Sheet1!D10&gt;25, "Yes", "No")</f>
        <v>Yes</v>
      </c>
      <c r="D10" s="3" t="str">
        <f>IF(Sheet1!D10&gt;25, Sheet1!E10, "None Applicable")</f>
        <v>e.jones@randatmail.com</v>
      </c>
      <c r="E10" s="3" t="str">
        <f>IF(LOWER(Sheet1!F10)="primary", "Primary", "")</f>
        <v/>
      </c>
      <c r="F10" s="3" t="str">
        <f>IF(AND(Sheet1!C10="Female", Sheet1!D10=30), "Eligible for social support funds", "Not applicable")</f>
        <v>Not applicable</v>
      </c>
      <c r="G10" s="1"/>
    </row>
    <row r="11" spans="1:7" ht="18" x14ac:dyDescent="0.2">
      <c r="A11" s="3" t="str">
        <f>Sheet1!A11 &amp; " " &amp; Sheet1!B11</f>
        <v>Aiden Davis</v>
      </c>
      <c r="B11" s="3" t="str">
        <f>LEFT(Sheet1!A11,1) &amp; LEFT(Sheet1!B11,1)</f>
        <v>AD</v>
      </c>
      <c r="C11" s="3" t="str">
        <f>IF(Sheet1!D11&gt;25, "Yes", "No")</f>
        <v>Yes</v>
      </c>
      <c r="D11" s="3" t="str">
        <f>IF(Sheet1!D11&gt;25, Sheet1!E11, "None Applicable")</f>
        <v>a.davis@randatmail.com</v>
      </c>
      <c r="E11" s="3" t="str">
        <f>IF(LOWER(Sheet1!F11)="primary", "Primary", "")</f>
        <v/>
      </c>
      <c r="F11" s="3" t="str">
        <f>IF(AND(Sheet1!C11="Female", Sheet1!D11=30), "Eligible for social support funds", "Not applicable")</f>
        <v>Not applicable</v>
      </c>
      <c r="G11" s="1"/>
    </row>
    <row r="12" spans="1:7" ht="18" x14ac:dyDescent="0.2">
      <c r="A12" s="3" t="str">
        <f>Sheet1!A12 &amp; " " &amp; Sheet1!B12</f>
        <v>Reid Andrews</v>
      </c>
      <c r="B12" s="3" t="str">
        <f>LEFT(Sheet1!A12,1) &amp; LEFT(Sheet1!B12,1)</f>
        <v>RA</v>
      </c>
      <c r="C12" s="3" t="str">
        <f>IF(Sheet1!D12&gt;25, "Yes", "No")</f>
        <v>No</v>
      </c>
      <c r="D12" s="3" t="str">
        <f>IF(Sheet1!D12&gt;25, Sheet1!E12, "None Applicable")</f>
        <v>None Applicable</v>
      </c>
      <c r="E12" s="3" t="str">
        <f>IF(LOWER(Sheet1!F12)="primary", "Primary", "")</f>
        <v/>
      </c>
      <c r="F12" s="3" t="str">
        <f>IF(AND(Sheet1!C12="Female", Sheet1!D12=30), "Eligible for social support funds", "Not applicable")</f>
        <v>Not applicable</v>
      </c>
      <c r="G12" s="1"/>
    </row>
    <row r="13" spans="1:7" ht="18" x14ac:dyDescent="0.2">
      <c r="A13" s="3" t="str">
        <f>Sheet1!A13 &amp; " " &amp; Sheet1!B13</f>
        <v>Aida Ferguson</v>
      </c>
      <c r="B13" s="3" t="str">
        <f>LEFT(Sheet1!A13,1) &amp; LEFT(Sheet1!B13,1)</f>
        <v>AF</v>
      </c>
      <c r="C13" s="3" t="str">
        <f>IF(Sheet1!D13&gt;25, "Yes", "No")</f>
        <v>No</v>
      </c>
      <c r="D13" s="3" t="str">
        <f>IF(Sheet1!D13&gt;25, Sheet1!E13, "None Applicable")</f>
        <v>None Applicable</v>
      </c>
      <c r="E13" s="3" t="str">
        <f>IF(LOWER(Sheet1!F13)="primary", "Primary", "")</f>
        <v/>
      </c>
      <c r="F13" s="3" t="str">
        <f>IF(AND(Sheet1!C13="Female", Sheet1!D13=30), "Eligible for social support funds", "Not applicable")</f>
        <v>Not applicable</v>
      </c>
      <c r="G13" s="1"/>
    </row>
    <row r="14" spans="1:7" ht="18" x14ac:dyDescent="0.2">
      <c r="A14" s="3" t="str">
        <f>Sheet1!A14 &amp; " " &amp; Sheet1!B14</f>
        <v>Amy Brown</v>
      </c>
      <c r="B14" s="3" t="str">
        <f>LEFT(Sheet1!A14,1) &amp; LEFT(Sheet1!B14,1)</f>
        <v>AB</v>
      </c>
      <c r="C14" s="3" t="str">
        <f>IF(Sheet1!D14&gt;25, "Yes", "No")</f>
        <v>No</v>
      </c>
      <c r="D14" s="3" t="str">
        <f>IF(Sheet1!D14&gt;25, Sheet1!E14, "None Applicable")</f>
        <v>None Applicable</v>
      </c>
      <c r="E14" s="3" t="str">
        <f>IF(LOWER(Sheet1!F14)="primary", "Primary", "")</f>
        <v/>
      </c>
      <c r="F14" s="3" t="str">
        <f>IF(AND(Sheet1!C14="Female", Sheet1!D14=30), "Eligible for social support funds", "Not applicable")</f>
        <v>Not applicable</v>
      </c>
      <c r="G14" s="1"/>
    </row>
    <row r="15" spans="1:7" ht="18" x14ac:dyDescent="0.2">
      <c r="A15" s="3" t="str">
        <f>Sheet1!A15 &amp; " " &amp; Sheet1!B15</f>
        <v>Evelyn Anderson</v>
      </c>
      <c r="B15" s="3" t="str">
        <f>LEFT(Sheet1!A15,1) &amp; LEFT(Sheet1!B15,1)</f>
        <v>EA</v>
      </c>
      <c r="C15" s="3" t="str">
        <f>IF(Sheet1!D15&gt;25, "Yes", "No")</f>
        <v>Yes</v>
      </c>
      <c r="D15" s="3" t="str">
        <f>IF(Sheet1!D15&gt;25, Sheet1!E15, "None Applicable")</f>
        <v>e.anderson@randatmail.com</v>
      </c>
      <c r="E15" s="3" t="str">
        <f>IF(LOWER(Sheet1!F15)="primary", "Primary", "")</f>
        <v>Primary</v>
      </c>
      <c r="F15" s="3" t="str">
        <f>IF(AND(Sheet1!C15="Female", Sheet1!D15=30), "Eligible for social support funds", "Not applicable")</f>
        <v>Eligible for social support funds</v>
      </c>
      <c r="G15" s="1"/>
    </row>
    <row r="16" spans="1:7" ht="18" x14ac:dyDescent="0.2">
      <c r="A16" s="3" t="str">
        <f>Sheet1!A16 &amp; " " &amp; Sheet1!B16</f>
        <v>Eleanor Owens</v>
      </c>
      <c r="B16" s="3" t="str">
        <f>LEFT(Sheet1!A16,1) &amp; LEFT(Sheet1!B16,1)</f>
        <v>EO</v>
      </c>
      <c r="C16" s="3" t="str">
        <f>IF(Sheet1!D16&gt;25, "Yes", "No")</f>
        <v>Yes</v>
      </c>
      <c r="D16" s="3" t="str">
        <f>IF(Sheet1!D16&gt;25, Sheet1!E16, "None Applicable")</f>
        <v>e.owens@randatmail.com</v>
      </c>
      <c r="E16" s="3" t="str">
        <f>IF(LOWER(Sheet1!F16)="primary", "Primary", "")</f>
        <v/>
      </c>
      <c r="F16" s="3" t="str">
        <f>IF(AND(Sheet1!C16="Female", Sheet1!D16=30), "Eligible for social support funds", "Not applicable")</f>
        <v>Not applicable</v>
      </c>
      <c r="G16" s="1"/>
    </row>
    <row r="17" spans="1:7" ht="18" x14ac:dyDescent="0.2">
      <c r="A17" s="3" t="str">
        <f>Sheet1!A17 &amp; " " &amp; Sheet1!B17</f>
        <v>Ada Ferguson</v>
      </c>
      <c r="B17" s="3" t="str">
        <f>LEFT(Sheet1!A17,1) &amp; LEFT(Sheet1!B17,1)</f>
        <v>AF</v>
      </c>
      <c r="C17" s="3" t="str">
        <f>IF(Sheet1!D17&gt;25, "Yes", "No")</f>
        <v>No</v>
      </c>
      <c r="D17" s="3" t="str">
        <f>IF(Sheet1!D17&gt;25, Sheet1!E17, "None Applicable")</f>
        <v>None Applicable</v>
      </c>
      <c r="E17" s="3" t="str">
        <f>IF(LOWER(Sheet1!F17)="primary", "Primary", "")</f>
        <v/>
      </c>
      <c r="F17" s="3" t="str">
        <f>IF(AND(Sheet1!C17="Female", Sheet1!D17=30), "Eligible for social support funds", "Not applicable")</f>
        <v>Not applicable</v>
      </c>
      <c r="G17" s="1"/>
    </row>
    <row r="18" spans="1:7" ht="18" x14ac:dyDescent="0.2">
      <c r="A18" s="3" t="str">
        <f>Sheet1!A18 &amp; " " &amp; Sheet1!B18</f>
        <v>Charlotte Thomas</v>
      </c>
      <c r="B18" s="3" t="str">
        <f>LEFT(Sheet1!A18,1) &amp; LEFT(Sheet1!B18,1)</f>
        <v>CT</v>
      </c>
      <c r="C18" s="3" t="str">
        <f>IF(Sheet1!D18&gt;25, "Yes", "No")</f>
        <v>No</v>
      </c>
      <c r="D18" s="3" t="str">
        <f>IF(Sheet1!D18&gt;25, Sheet1!E18, "None Applicable")</f>
        <v>None Applicable</v>
      </c>
      <c r="E18" s="3" t="str">
        <f>IF(LOWER(Sheet1!F18)="primary", "Primary", "")</f>
        <v/>
      </c>
      <c r="F18" s="3" t="str">
        <f>IF(AND(Sheet1!C18="Female", Sheet1!D18=30), "Eligible for social support funds", "Not applicable")</f>
        <v>Not applicable</v>
      </c>
      <c r="G18" s="1"/>
    </row>
    <row r="19" spans="1:7" ht="18" x14ac:dyDescent="0.2">
      <c r="A19" s="3" t="str">
        <f>Sheet1!A19 &amp; " " &amp; Sheet1!B19</f>
        <v>Lilianna Morris</v>
      </c>
      <c r="B19" s="3" t="str">
        <f>LEFT(Sheet1!A19,1) &amp; LEFT(Sheet1!B19,1)</f>
        <v>LM</v>
      </c>
      <c r="C19" s="3" t="str">
        <f>IF(Sheet1!D19&gt;25, "Yes", "No")</f>
        <v>No</v>
      </c>
      <c r="D19" s="3" t="str">
        <f>IF(Sheet1!D19&gt;25, Sheet1!E19, "None Applicable")</f>
        <v>None Applicable</v>
      </c>
      <c r="E19" s="3" t="str">
        <f>IF(LOWER(Sheet1!F19)="primary", "Primary", "")</f>
        <v>Primary</v>
      </c>
      <c r="F19" s="3" t="str">
        <f>IF(AND(Sheet1!C19="Female", Sheet1!D19=30), "Eligible for social support funds", "Not applicable")</f>
        <v>Not applicable</v>
      </c>
      <c r="G19" s="1"/>
    </row>
    <row r="20" spans="1:7" ht="18" x14ac:dyDescent="0.2">
      <c r="A20" s="3" t="str">
        <f>Sheet1!A20 &amp; " " &amp; Sheet1!B20</f>
        <v>Oscar Howard</v>
      </c>
      <c r="B20" s="3" t="str">
        <f>LEFT(Sheet1!A20,1) &amp; LEFT(Sheet1!B20,1)</f>
        <v>OH</v>
      </c>
      <c r="C20" s="3" t="str">
        <f>IF(Sheet1!D20&gt;25, "Yes", "No")</f>
        <v>No</v>
      </c>
      <c r="D20" s="3" t="str">
        <f>IF(Sheet1!D20&gt;25, Sheet1!E20, "None Applicable")</f>
        <v>None Applicable</v>
      </c>
      <c r="E20" s="3" t="str">
        <f>IF(LOWER(Sheet1!F20)="primary", "Primary", "")</f>
        <v>Primary</v>
      </c>
      <c r="F20" s="3" t="str">
        <f>IF(AND(Sheet1!C20="Female", Sheet1!D20=30), "Eligible for social support funds", "Not applicable")</f>
        <v>Not applicable</v>
      </c>
      <c r="G20" s="1"/>
    </row>
    <row r="21" spans="1:7" ht="18" x14ac:dyDescent="0.2">
      <c r="A21" s="3" t="str">
        <f>Sheet1!A21 &amp; " " &amp; Sheet1!B21</f>
        <v>Paul Morgan</v>
      </c>
      <c r="B21" s="3" t="str">
        <f>LEFT(Sheet1!A21,1) &amp; LEFT(Sheet1!B21,1)</f>
        <v>PM</v>
      </c>
      <c r="C21" s="3" t="str">
        <f>IF(Sheet1!D21&gt;25, "Yes", "No")</f>
        <v>Yes</v>
      </c>
      <c r="D21" s="3" t="str">
        <f>IF(Sheet1!D21&gt;25, Sheet1!E21, "None Applicable")</f>
        <v>p.morgan@randatmail.com</v>
      </c>
      <c r="E21" s="3" t="str">
        <f>IF(LOWER(Sheet1!F21)="primary", "Primary", "")</f>
        <v>Primary</v>
      </c>
      <c r="F21" s="3" t="str">
        <f>IF(AND(Sheet1!C21="Female", Sheet1!D21=30), "Eligible for social support funds", "Not applicable")</f>
        <v>Not applicable</v>
      </c>
      <c r="G21" s="1"/>
    </row>
    <row r="22" spans="1:7" ht="18" x14ac:dyDescent="0.2">
      <c r="A22" s="3" t="str">
        <f>Sheet1!A22 &amp; " " &amp; Sheet1!B22</f>
        <v>Brooke Walker</v>
      </c>
      <c r="B22" s="3" t="str">
        <f>LEFT(Sheet1!A22,1) &amp; LEFT(Sheet1!B22,1)</f>
        <v>BW</v>
      </c>
      <c r="C22" s="3" t="str">
        <f>IF(Sheet1!D22&gt;25, "Yes", "No")</f>
        <v>Yes</v>
      </c>
      <c r="D22" s="3" t="str">
        <f>IF(Sheet1!D22&gt;25, Sheet1!E22, "None Applicable")</f>
        <v>b.walker@randatmail.com</v>
      </c>
      <c r="E22" s="3" t="str">
        <f>IF(LOWER(Sheet1!F22)="primary", "Primary", "")</f>
        <v/>
      </c>
      <c r="F22" s="3" t="str">
        <f>IF(AND(Sheet1!C22="Female", Sheet1!D22=30), "Eligible for social support funds", "Not applicable")</f>
        <v>Not applicable</v>
      </c>
      <c r="G22" s="1"/>
    </row>
    <row r="23" spans="1:7" ht="18" x14ac:dyDescent="0.2">
      <c r="A23" s="3" t="str">
        <f>Sheet1!A23 &amp; " " &amp; Sheet1!B23</f>
        <v>Alina Armstrong</v>
      </c>
      <c r="B23" s="3" t="str">
        <f>LEFT(Sheet1!A23,1) &amp; LEFT(Sheet1!B23,1)</f>
        <v>AA</v>
      </c>
      <c r="C23" s="3" t="str">
        <f>IF(Sheet1!D23&gt;25, "Yes", "No")</f>
        <v>No</v>
      </c>
      <c r="D23" s="3" t="str">
        <f>IF(Sheet1!D23&gt;25, Sheet1!E23, "None Applicable")</f>
        <v>None Applicable</v>
      </c>
      <c r="E23" s="3" t="str">
        <f>IF(LOWER(Sheet1!F23)="primary", "Primary", "")</f>
        <v/>
      </c>
      <c r="F23" s="3" t="str">
        <f>IF(AND(Sheet1!C23="Female", Sheet1!D23=30), "Eligible for social support funds", "Not applicable")</f>
        <v>Not applicable</v>
      </c>
      <c r="G23" s="1"/>
    </row>
    <row r="24" spans="1:7" ht="18" x14ac:dyDescent="0.2">
      <c r="A24" s="3" t="str">
        <f>Sheet1!A24 &amp; " " &amp; Sheet1!B24</f>
        <v>Alfred Carter</v>
      </c>
      <c r="B24" s="3" t="str">
        <f>LEFT(Sheet1!A24,1) &amp; LEFT(Sheet1!B24,1)</f>
        <v>AC</v>
      </c>
      <c r="C24" s="3" t="str">
        <f>IF(Sheet1!D24&gt;25, "Yes", "No")</f>
        <v>Yes</v>
      </c>
      <c r="D24" s="3" t="str">
        <f>IF(Sheet1!D24&gt;25, Sheet1!E24, "None Applicable")</f>
        <v>a.carter@randatmail.com</v>
      </c>
      <c r="E24" s="3" t="str">
        <f>IF(LOWER(Sheet1!F24)="primary", "Primary", "")</f>
        <v/>
      </c>
      <c r="F24" s="3" t="str">
        <f>IF(AND(Sheet1!C24="Female", Sheet1!D24=30), "Eligible for social support funds", "Not applicable")</f>
        <v>Not applicable</v>
      </c>
      <c r="G24" s="1"/>
    </row>
    <row r="25" spans="1:7" ht="18" x14ac:dyDescent="0.2">
      <c r="A25" s="3" t="str">
        <f>Sheet1!A25 &amp; " " &amp; Sheet1!B25</f>
        <v>Deanna Hamilton</v>
      </c>
      <c r="B25" s="3" t="str">
        <f>LEFT(Sheet1!A25,1) &amp; LEFT(Sheet1!B25,1)</f>
        <v>DH</v>
      </c>
      <c r="C25" s="3" t="str">
        <f>IF(Sheet1!D25&gt;25, "Yes", "No")</f>
        <v>No</v>
      </c>
      <c r="D25" s="3" t="str">
        <f>IF(Sheet1!D25&gt;25, Sheet1!E25, "None Applicable")</f>
        <v>None Applicable</v>
      </c>
      <c r="E25" s="3" t="str">
        <f>IF(LOWER(Sheet1!F25)="primary", "Primary", "")</f>
        <v/>
      </c>
      <c r="F25" s="3" t="str">
        <f>IF(AND(Sheet1!C25="Female", Sheet1!D25=30), "Eligible for social support funds", "Not applicable")</f>
        <v>Not applicable</v>
      </c>
      <c r="G25" s="1"/>
    </row>
    <row r="26" spans="1:7" ht="18" x14ac:dyDescent="0.2">
      <c r="A26" s="3" t="str">
        <f>Sheet1!A26 &amp; " " &amp; Sheet1!B26</f>
        <v>Kevin Sullivan</v>
      </c>
      <c r="B26" s="3" t="str">
        <f>LEFT(Sheet1!A26,1) &amp; LEFT(Sheet1!B26,1)</f>
        <v>KS</v>
      </c>
      <c r="C26" s="3" t="str">
        <f>IF(Sheet1!D26&gt;25, "Yes", "No")</f>
        <v>Yes</v>
      </c>
      <c r="D26" s="3" t="str">
        <f>IF(Sheet1!D26&gt;25, Sheet1!E26, "None Applicable")</f>
        <v>k.sullivan@randatmail.com</v>
      </c>
      <c r="E26" s="3" t="str">
        <f>IF(LOWER(Sheet1!F26)="primary", "Primary", "")</f>
        <v/>
      </c>
      <c r="F26" s="3" t="str">
        <f>IF(AND(Sheet1!C26="Female", Sheet1!D26=30), "Eligible for social support funds", "Not applicable")</f>
        <v>Not applicable</v>
      </c>
      <c r="G26" s="1"/>
    </row>
    <row r="27" spans="1:7" ht="18" x14ac:dyDescent="0.2">
      <c r="A27" s="3" t="str">
        <f>Sheet1!A27 &amp; " " &amp; Sheet1!B27</f>
        <v>Eddy Ross</v>
      </c>
      <c r="B27" s="3" t="str">
        <f>LEFT(Sheet1!A27,1) &amp; LEFT(Sheet1!B27,1)</f>
        <v>ER</v>
      </c>
      <c r="C27" s="3" t="str">
        <f>IF(Sheet1!D27&gt;25, "Yes", "No")</f>
        <v>Yes</v>
      </c>
      <c r="D27" s="3" t="str">
        <f>IF(Sheet1!D27&gt;25, Sheet1!E27, "None Applicable")</f>
        <v>e.ross@randatmail.com</v>
      </c>
      <c r="E27" s="3" t="str">
        <f>IF(LOWER(Sheet1!F27)="primary", "Primary", "")</f>
        <v/>
      </c>
      <c r="F27" s="3" t="str">
        <f>IF(AND(Sheet1!C27="Female", Sheet1!D27=30), "Eligible for social support funds", "Not applicable")</f>
        <v>Not applicable</v>
      </c>
      <c r="G27" s="1"/>
    </row>
    <row r="28" spans="1:7" ht="18" x14ac:dyDescent="0.2">
      <c r="A28" s="3" t="str">
        <f>Sheet1!A28 &amp; " " &amp; Sheet1!B28</f>
        <v>April Baker</v>
      </c>
      <c r="B28" s="3" t="str">
        <f>LEFT(Sheet1!A28,1) &amp; LEFT(Sheet1!B28,1)</f>
        <v>AB</v>
      </c>
      <c r="C28" s="3" t="str">
        <f>IF(Sheet1!D28&gt;25, "Yes", "No")</f>
        <v>No</v>
      </c>
      <c r="D28" s="3" t="str">
        <f>IF(Sheet1!D28&gt;25, Sheet1!E28, "None Applicable")</f>
        <v>None Applicable</v>
      </c>
      <c r="E28" s="3" t="str">
        <f>IF(LOWER(Sheet1!F28)="primary", "Primary", "")</f>
        <v/>
      </c>
      <c r="F28" s="3" t="str">
        <f>IF(AND(Sheet1!C28="Female", Sheet1!D28=30), "Eligible for social support funds", "Not applicable")</f>
        <v>Not applicable</v>
      </c>
      <c r="G28" s="1"/>
    </row>
    <row r="29" spans="1:7" ht="18" x14ac:dyDescent="0.2">
      <c r="A29" s="3" t="str">
        <f>Sheet1!A29 &amp; " " &amp; Sheet1!B29</f>
        <v>Harold Smith</v>
      </c>
      <c r="B29" s="3" t="str">
        <f>LEFT(Sheet1!A29,1) &amp; LEFT(Sheet1!B29,1)</f>
        <v>HS</v>
      </c>
      <c r="C29" s="3" t="str">
        <f>IF(Sheet1!D29&gt;25, "Yes", "No")</f>
        <v>Yes</v>
      </c>
      <c r="D29" s="3" t="str">
        <f>IF(Sheet1!D29&gt;25, Sheet1!E29, "None Applicable")</f>
        <v>h.smith@randatmail.com</v>
      </c>
      <c r="E29" s="3" t="str">
        <f>IF(LOWER(Sheet1!F29)="primary", "Primary", "")</f>
        <v>Primary</v>
      </c>
      <c r="F29" s="3" t="str">
        <f>IF(AND(Sheet1!C29="Female", Sheet1!D29=30), "Eligible for social support funds", "Not applicable")</f>
        <v>Not applicable</v>
      </c>
      <c r="G29" s="1"/>
    </row>
    <row r="30" spans="1:7" ht="18" x14ac:dyDescent="0.2">
      <c r="A30" s="3" t="str">
        <f>Sheet1!A30 &amp; " " &amp; Sheet1!B30</f>
        <v>Ashton Morrison</v>
      </c>
      <c r="B30" s="3" t="str">
        <f>LEFT(Sheet1!A30,1) &amp; LEFT(Sheet1!B30,1)</f>
        <v>AM</v>
      </c>
      <c r="C30" s="3" t="str">
        <f>IF(Sheet1!D30&gt;25, "Yes", "No")</f>
        <v>No</v>
      </c>
      <c r="D30" s="3" t="str">
        <f>IF(Sheet1!D30&gt;25, Sheet1!E30, "None Applicable")</f>
        <v>None Applicable</v>
      </c>
      <c r="E30" s="3" t="str">
        <f>IF(LOWER(Sheet1!F30)="primary", "Primary", "")</f>
        <v/>
      </c>
      <c r="F30" s="3" t="str">
        <f>IF(AND(Sheet1!C30="Female", Sheet1!D30=30), "Eligible for social support funds", "Not applicable")</f>
        <v>Not applicable</v>
      </c>
      <c r="G30" s="1"/>
    </row>
    <row r="31" spans="1:7" ht="18" x14ac:dyDescent="0.2">
      <c r="A31" s="3" t="str">
        <f>Sheet1!A31 &amp; " " &amp; Sheet1!B31</f>
        <v>Vanessa Baker</v>
      </c>
      <c r="B31" s="3" t="str">
        <f>LEFT(Sheet1!A31,1) &amp; LEFT(Sheet1!B31,1)</f>
        <v>VB</v>
      </c>
      <c r="C31" s="3" t="str">
        <f>IF(Sheet1!D31&gt;25, "Yes", "No")</f>
        <v>No</v>
      </c>
      <c r="D31" s="3" t="str">
        <f>IF(Sheet1!D31&gt;25, Sheet1!E31, "None Applicable")</f>
        <v>None Applicable</v>
      </c>
      <c r="E31" s="3" t="str">
        <f>IF(LOWER(Sheet1!F31)="primary", "Primary", "")</f>
        <v/>
      </c>
      <c r="F31" s="3" t="str">
        <f>IF(AND(Sheet1!C31="Female", Sheet1!D31=30), "Eligible for social support funds", "Not applicable")</f>
        <v>Not applicable</v>
      </c>
      <c r="G31" s="1"/>
    </row>
    <row r="32" spans="1:7" ht="18" x14ac:dyDescent="0.2">
      <c r="A32" s="3" t="str">
        <f>Sheet1!A32 &amp; " " &amp; Sheet1!B32</f>
        <v>April Cameron</v>
      </c>
      <c r="B32" s="3" t="str">
        <f>LEFT(Sheet1!A32,1) &amp; LEFT(Sheet1!B32,1)</f>
        <v>AC</v>
      </c>
      <c r="C32" s="3" t="str">
        <f>IF(Sheet1!D32&gt;25, "Yes", "No")</f>
        <v>No</v>
      </c>
      <c r="D32" s="3" t="str">
        <f>IF(Sheet1!D32&gt;25, Sheet1!E32, "None Applicable")</f>
        <v>None Applicable</v>
      </c>
      <c r="E32" s="3" t="str">
        <f>IF(LOWER(Sheet1!F32)="primary", "Primary", "")</f>
        <v/>
      </c>
      <c r="F32" s="3" t="str">
        <f>IF(AND(Sheet1!C32="Female", Sheet1!D32=30), "Eligible for social support funds", "Not applicable")</f>
        <v>Not applicable</v>
      </c>
      <c r="G32" s="1"/>
    </row>
    <row r="33" spans="1:7" ht="18" x14ac:dyDescent="0.2">
      <c r="A33" s="3" t="str">
        <f>Sheet1!A33 &amp; " " &amp; Sheet1!B33</f>
        <v>Chloe Cooper</v>
      </c>
      <c r="B33" s="3" t="str">
        <f>LEFT(Sheet1!A33,1) &amp; LEFT(Sheet1!B33,1)</f>
        <v>CC</v>
      </c>
      <c r="C33" s="3" t="str">
        <f>IF(Sheet1!D33&gt;25, "Yes", "No")</f>
        <v>Yes</v>
      </c>
      <c r="D33" s="3" t="str">
        <f>IF(Sheet1!D33&gt;25, Sheet1!E33, "None Applicable")</f>
        <v>c.cooper@randatmail.com</v>
      </c>
      <c r="E33" s="3" t="str">
        <f>IF(LOWER(Sheet1!F33)="primary", "Primary", "")</f>
        <v/>
      </c>
      <c r="F33" s="3" t="str">
        <f>IF(AND(Sheet1!C33="Female", Sheet1!D33=30), "Eligible for social support funds", "Not applicable")</f>
        <v>Not applicable</v>
      </c>
      <c r="G33" s="1"/>
    </row>
    <row r="34" spans="1:7" ht="18" x14ac:dyDescent="0.2">
      <c r="A34" s="3" t="str">
        <f>Sheet1!A34 &amp; " " &amp; Sheet1!B34</f>
        <v>Connie Davis</v>
      </c>
      <c r="B34" s="3" t="str">
        <f>LEFT(Sheet1!A34,1) &amp; LEFT(Sheet1!B34,1)</f>
        <v>CD</v>
      </c>
      <c r="C34" s="3" t="str">
        <f>IF(Sheet1!D34&gt;25, "Yes", "No")</f>
        <v>No</v>
      </c>
      <c r="D34" s="3" t="str">
        <f>IF(Sheet1!D34&gt;25, Sheet1!E34, "None Applicable")</f>
        <v>None Applicable</v>
      </c>
      <c r="E34" s="3" t="str">
        <f>IF(LOWER(Sheet1!F34)="primary", "Primary", "")</f>
        <v/>
      </c>
      <c r="F34" s="3" t="str">
        <f>IF(AND(Sheet1!C34="Female", Sheet1!D34=30), "Eligible for social support funds", "Not applicable")</f>
        <v>Not applicable</v>
      </c>
      <c r="G34" s="1"/>
    </row>
    <row r="35" spans="1:7" ht="18" x14ac:dyDescent="0.2">
      <c r="A35" s="3" t="str">
        <f>Sheet1!A35 &amp; " " &amp; Sheet1!B35</f>
        <v>Grace Moore</v>
      </c>
      <c r="B35" s="3" t="str">
        <f>LEFT(Sheet1!A35,1) &amp; LEFT(Sheet1!B35,1)</f>
        <v>GM</v>
      </c>
      <c r="C35" s="3" t="str">
        <f>IF(Sheet1!D35&gt;25, "Yes", "No")</f>
        <v>No</v>
      </c>
      <c r="D35" s="3" t="str">
        <f>IF(Sheet1!D35&gt;25, Sheet1!E35, "None Applicable")</f>
        <v>None Applicable</v>
      </c>
      <c r="E35" s="3" t="str">
        <f>IF(LOWER(Sheet1!F35)="primary", "Primary", "")</f>
        <v/>
      </c>
      <c r="F35" s="3" t="str">
        <f>IF(AND(Sheet1!C35="Female", Sheet1!D35=30), "Eligible for social support funds", "Not applicable")</f>
        <v>Not applicable</v>
      </c>
      <c r="G35" s="1"/>
    </row>
    <row r="36" spans="1:7" ht="18" x14ac:dyDescent="0.2">
      <c r="A36" s="3" t="str">
        <f>Sheet1!A36 &amp; " " &amp; Sheet1!B36</f>
        <v>Elise Ryan</v>
      </c>
      <c r="B36" s="3" t="str">
        <f>LEFT(Sheet1!A36,1) &amp; LEFT(Sheet1!B36,1)</f>
        <v>ER</v>
      </c>
      <c r="C36" s="3" t="str">
        <f>IF(Sheet1!D36&gt;25, "Yes", "No")</f>
        <v>Yes</v>
      </c>
      <c r="D36" s="3" t="str">
        <f>IF(Sheet1!D36&gt;25, Sheet1!E36, "None Applicable")</f>
        <v>e.ryan@randatmail.com</v>
      </c>
      <c r="E36" s="3" t="str">
        <f>IF(LOWER(Sheet1!F36)="primary", "Primary", "")</f>
        <v>Primary</v>
      </c>
      <c r="F36" s="3" t="str">
        <f>IF(AND(Sheet1!C36="Female", Sheet1!D36=30), "Eligible for social support funds", "Not applicable")</f>
        <v>Eligible for social support funds</v>
      </c>
      <c r="G36" s="1"/>
    </row>
    <row r="37" spans="1:7" ht="18" x14ac:dyDescent="0.2">
      <c r="A37" s="3" t="str">
        <f>Sheet1!A37 &amp; " " &amp; Sheet1!B37</f>
        <v>Melissa Barnes</v>
      </c>
      <c r="B37" s="3" t="str">
        <f>LEFT(Sheet1!A37,1) &amp; LEFT(Sheet1!B37,1)</f>
        <v>MB</v>
      </c>
      <c r="C37" s="3" t="str">
        <f>IF(Sheet1!D37&gt;25, "Yes", "No")</f>
        <v>Yes</v>
      </c>
      <c r="D37" s="3" t="str">
        <f>IF(Sheet1!D37&gt;25, Sheet1!E37, "None Applicable")</f>
        <v>m.barnes@randatmail.com</v>
      </c>
      <c r="E37" s="3" t="str">
        <f>IF(LOWER(Sheet1!F37)="primary", "Primary", "")</f>
        <v/>
      </c>
      <c r="F37" s="3" t="str">
        <f>IF(AND(Sheet1!C37="Female", Sheet1!D37=30), "Eligible for social support funds", "Not applicable")</f>
        <v>Not applicable</v>
      </c>
      <c r="G37" s="1"/>
    </row>
    <row r="38" spans="1:7" ht="18" x14ac:dyDescent="0.2">
      <c r="A38" s="3" t="str">
        <f>Sheet1!A38 &amp; " " &amp; Sheet1!B38</f>
        <v>Julia Ross</v>
      </c>
      <c r="B38" s="3" t="str">
        <f>LEFT(Sheet1!A38,1) &amp; LEFT(Sheet1!B38,1)</f>
        <v>JR</v>
      </c>
      <c r="C38" s="3" t="str">
        <f>IF(Sheet1!D38&gt;25, "Yes", "No")</f>
        <v>No</v>
      </c>
      <c r="D38" s="3" t="str">
        <f>IF(Sheet1!D38&gt;25, Sheet1!E38, "None Applicable")</f>
        <v>None Applicable</v>
      </c>
      <c r="E38" s="3" t="str">
        <f>IF(LOWER(Sheet1!F38)="primary", "Primary", "")</f>
        <v/>
      </c>
      <c r="F38" s="3" t="str">
        <f>IF(AND(Sheet1!C38="Female", Sheet1!D38=30), "Eligible for social support funds", "Not applicable")</f>
        <v>Not applicable</v>
      </c>
      <c r="G38" s="1"/>
    </row>
    <row r="39" spans="1:7" ht="18" x14ac:dyDescent="0.2">
      <c r="A39" s="3" t="str">
        <f>Sheet1!A39 &amp; " " &amp; Sheet1!B39</f>
        <v>Derek Carroll</v>
      </c>
      <c r="B39" s="3" t="str">
        <f>LEFT(Sheet1!A39,1) &amp; LEFT(Sheet1!B39,1)</f>
        <v>DC</v>
      </c>
      <c r="C39" s="3" t="str">
        <f>IF(Sheet1!D39&gt;25, "Yes", "No")</f>
        <v>Yes</v>
      </c>
      <c r="D39" s="3" t="str">
        <f>IF(Sheet1!D39&gt;25, Sheet1!E39, "None Applicable")</f>
        <v>d.carroll@randatmail.com</v>
      </c>
      <c r="E39" s="3" t="str">
        <f>IF(LOWER(Sheet1!F39)="primary", "Primary", "")</f>
        <v/>
      </c>
      <c r="F39" s="3" t="str">
        <f>IF(AND(Sheet1!C39="Female", Sheet1!D39=30), "Eligible for social support funds", "Not applicable")</f>
        <v>Not applicable</v>
      </c>
      <c r="G39" s="1"/>
    </row>
    <row r="40" spans="1:7" ht="18" x14ac:dyDescent="0.2">
      <c r="A40" s="3" t="str">
        <f>Sheet1!A40 &amp; " " &amp; Sheet1!B40</f>
        <v>Caroline West</v>
      </c>
      <c r="B40" s="3" t="str">
        <f>LEFT(Sheet1!A40,1) &amp; LEFT(Sheet1!B40,1)</f>
        <v>CW</v>
      </c>
      <c r="C40" s="3" t="str">
        <f>IF(Sheet1!D40&gt;25, "Yes", "No")</f>
        <v>Yes</v>
      </c>
      <c r="D40" s="3" t="str">
        <f>IF(Sheet1!D40&gt;25, Sheet1!E40, "None Applicable")</f>
        <v>c.west@randatmail.com</v>
      </c>
      <c r="E40" s="3" t="str">
        <f>IF(LOWER(Sheet1!F40)="primary", "Primary", "")</f>
        <v/>
      </c>
      <c r="F40" s="3" t="str">
        <f>IF(AND(Sheet1!C40="Female", Sheet1!D40=30), "Eligible for social support funds", "Not applicable")</f>
        <v>Eligible for social support funds</v>
      </c>
      <c r="G40" s="1"/>
    </row>
    <row r="41" spans="1:7" ht="18" x14ac:dyDescent="0.2">
      <c r="A41" s="3" t="str">
        <f>Sheet1!A41 &amp; " " &amp; Sheet1!B41</f>
        <v>Daniel Ross</v>
      </c>
      <c r="B41" s="3" t="str">
        <f>LEFT(Sheet1!A41,1) &amp; LEFT(Sheet1!B41,1)</f>
        <v>DR</v>
      </c>
      <c r="C41" s="3" t="str">
        <f>IF(Sheet1!D41&gt;25, "Yes", "No")</f>
        <v>No</v>
      </c>
      <c r="D41" s="3" t="str">
        <f>IF(Sheet1!D41&gt;25, Sheet1!E41, "None Applicable")</f>
        <v>None Applicable</v>
      </c>
      <c r="E41" s="3" t="str">
        <f>IF(LOWER(Sheet1!F41)="primary", "Primary", "")</f>
        <v/>
      </c>
      <c r="F41" s="3" t="str">
        <f>IF(AND(Sheet1!C41="Female", Sheet1!D41=30), "Eligible for social support funds", "Not applicable")</f>
        <v>Not applicable</v>
      </c>
      <c r="G41" s="1"/>
    </row>
    <row r="42" spans="1:7" ht="18" x14ac:dyDescent="0.2">
      <c r="A42" s="3" t="str">
        <f>Sheet1!A42 &amp; " " &amp; Sheet1!B42</f>
        <v>Ted Higgins</v>
      </c>
      <c r="B42" s="3" t="str">
        <f>LEFT(Sheet1!A42,1) &amp; LEFT(Sheet1!B42,1)</f>
        <v>TH</v>
      </c>
      <c r="C42" s="3" t="str">
        <f>IF(Sheet1!D42&gt;25, "Yes", "No")</f>
        <v>No</v>
      </c>
      <c r="D42" s="3" t="str">
        <f>IF(Sheet1!D42&gt;25, Sheet1!E42, "None Applicable")</f>
        <v>None Applicable</v>
      </c>
      <c r="E42" s="3" t="str">
        <f>IF(LOWER(Sheet1!F42)="primary", "Primary", "")</f>
        <v/>
      </c>
      <c r="F42" s="3" t="str">
        <f>IF(AND(Sheet1!C42="Female", Sheet1!D42=30), "Eligible for social support funds", "Not applicable")</f>
        <v>Not applicable</v>
      </c>
      <c r="G42" s="1"/>
    </row>
    <row r="43" spans="1:7" ht="18" x14ac:dyDescent="0.2">
      <c r="A43" s="3" t="str">
        <f>Sheet1!A43 &amp; " " &amp; Sheet1!B43</f>
        <v>Tyler Smith</v>
      </c>
      <c r="B43" s="3" t="str">
        <f>LEFT(Sheet1!A43,1) &amp; LEFT(Sheet1!B43,1)</f>
        <v>TS</v>
      </c>
      <c r="C43" s="3" t="str">
        <f>IF(Sheet1!D43&gt;25, "Yes", "No")</f>
        <v>No</v>
      </c>
      <c r="D43" s="3" t="str">
        <f>IF(Sheet1!D43&gt;25, Sheet1!E43, "None Applicable")</f>
        <v>None Applicable</v>
      </c>
      <c r="E43" s="3" t="str">
        <f>IF(LOWER(Sheet1!F43)="primary", "Primary", "")</f>
        <v/>
      </c>
      <c r="F43" s="3" t="str">
        <f>IF(AND(Sheet1!C43="Female", Sheet1!D43=30), "Eligible for social support funds", "Not applicable")</f>
        <v>Not applicable</v>
      </c>
      <c r="G43" s="1"/>
    </row>
    <row r="44" spans="1:7" ht="18" x14ac:dyDescent="0.2">
      <c r="A44" s="3" t="str">
        <f>Sheet1!A44 &amp; " " &amp; Sheet1!B44</f>
        <v>Alisa Robinson</v>
      </c>
      <c r="B44" s="3" t="str">
        <f>LEFT(Sheet1!A44,1) &amp; LEFT(Sheet1!B44,1)</f>
        <v>AR</v>
      </c>
      <c r="C44" s="3" t="str">
        <f>IF(Sheet1!D44&gt;25, "Yes", "No")</f>
        <v>No</v>
      </c>
      <c r="D44" s="3" t="str">
        <f>IF(Sheet1!D44&gt;25, Sheet1!E44, "None Applicable")</f>
        <v>None Applicable</v>
      </c>
      <c r="E44" s="3" t="str">
        <f>IF(LOWER(Sheet1!F44)="primary", "Primary", "")</f>
        <v/>
      </c>
      <c r="F44" s="3" t="str">
        <f>IF(AND(Sheet1!C44="Female", Sheet1!D44=30), "Eligible for social support funds", "Not applicable")</f>
        <v>Not applicable</v>
      </c>
      <c r="G44" s="1"/>
    </row>
    <row r="45" spans="1:7" ht="18" x14ac:dyDescent="0.2">
      <c r="A45" s="3" t="str">
        <f>Sheet1!A45 &amp; " " &amp; Sheet1!B45</f>
        <v>Eddy Harrison</v>
      </c>
      <c r="B45" s="3" t="str">
        <f>LEFT(Sheet1!A45,1) &amp; LEFT(Sheet1!B45,1)</f>
        <v>EH</v>
      </c>
      <c r="C45" s="3" t="str">
        <f>IF(Sheet1!D45&gt;25, "Yes", "No")</f>
        <v>No</v>
      </c>
      <c r="D45" s="3" t="str">
        <f>IF(Sheet1!D45&gt;25, Sheet1!E45, "None Applicable")</f>
        <v>None Applicable</v>
      </c>
      <c r="E45" s="3" t="str">
        <f>IF(LOWER(Sheet1!F45)="primary", "Primary", "")</f>
        <v/>
      </c>
      <c r="F45" s="3" t="str">
        <f>IF(AND(Sheet1!C45="Female", Sheet1!D45=30), "Eligible for social support funds", "Not applicable")</f>
        <v>Not applicable</v>
      </c>
      <c r="G45" s="1"/>
    </row>
    <row r="46" spans="1:7" ht="18" x14ac:dyDescent="0.2">
      <c r="A46" s="3" t="str">
        <f>Sheet1!A46 &amp; " " &amp; Sheet1!B46</f>
        <v>Max Kelly</v>
      </c>
      <c r="B46" s="3" t="str">
        <f>LEFT(Sheet1!A46,1) &amp; LEFT(Sheet1!B46,1)</f>
        <v>MK</v>
      </c>
      <c r="C46" s="3" t="str">
        <f>IF(Sheet1!D46&gt;25, "Yes", "No")</f>
        <v>Yes</v>
      </c>
      <c r="D46" s="3" t="str">
        <f>IF(Sheet1!D46&gt;25, Sheet1!E46, "None Applicable")</f>
        <v>m.kelly@randatmail.com</v>
      </c>
      <c r="E46" s="3" t="str">
        <f>IF(LOWER(Sheet1!F46)="primary", "Primary", "")</f>
        <v/>
      </c>
      <c r="F46" s="3" t="str">
        <f>IF(AND(Sheet1!C46="Female", Sheet1!D46=30), "Eligible for social support funds", "Not applicable")</f>
        <v>Not applicable</v>
      </c>
      <c r="G46" s="1"/>
    </row>
    <row r="47" spans="1:7" ht="18" x14ac:dyDescent="0.2">
      <c r="A47" s="3" t="str">
        <f>Sheet1!A47 &amp; " " &amp; Sheet1!B47</f>
        <v>Ellia Davis</v>
      </c>
      <c r="B47" s="3" t="str">
        <f>LEFT(Sheet1!A47,1) &amp; LEFT(Sheet1!B47,1)</f>
        <v>ED</v>
      </c>
      <c r="C47" s="3" t="str">
        <f>IF(Sheet1!D47&gt;25, "Yes", "No")</f>
        <v>Yes</v>
      </c>
      <c r="D47" s="3" t="str">
        <f>IF(Sheet1!D47&gt;25, Sheet1!E47, "None Applicable")</f>
        <v>e.davis@randatmail.com</v>
      </c>
      <c r="E47" s="3" t="str">
        <f>IF(LOWER(Sheet1!F47)="primary", "Primary", "")</f>
        <v/>
      </c>
      <c r="F47" s="3" t="str">
        <f>IF(AND(Sheet1!C47="Female", Sheet1!D47=30), "Eligible for social support funds", "Not applicable")</f>
        <v>Not applicable</v>
      </c>
      <c r="G47" s="1"/>
    </row>
    <row r="48" spans="1:7" ht="18" x14ac:dyDescent="0.2">
      <c r="A48" s="3" t="str">
        <f>Sheet1!A48 &amp; " " &amp; Sheet1!B48</f>
        <v>Jack Gray</v>
      </c>
      <c r="B48" s="3" t="str">
        <f>LEFT(Sheet1!A48,1) &amp; LEFT(Sheet1!B48,1)</f>
        <v>JG</v>
      </c>
      <c r="C48" s="3" t="str">
        <f>IF(Sheet1!D48&gt;25, "Yes", "No")</f>
        <v>Yes</v>
      </c>
      <c r="D48" s="3" t="str">
        <f>IF(Sheet1!D48&gt;25, Sheet1!E48, "None Applicable")</f>
        <v>j.gray@randatmail.com</v>
      </c>
      <c r="E48" s="3" t="str">
        <f>IF(LOWER(Sheet1!F48)="primary", "Primary", "")</f>
        <v/>
      </c>
      <c r="F48" s="3" t="str">
        <f>IF(AND(Sheet1!C48="Female", Sheet1!D48=30), "Eligible for social support funds", "Not applicable")</f>
        <v>Not applicable</v>
      </c>
      <c r="G48" s="1"/>
    </row>
    <row r="49" spans="1:7" ht="18" x14ac:dyDescent="0.2">
      <c r="A49" s="3" t="str">
        <f>Sheet1!A49 &amp; " " &amp; Sheet1!B49</f>
        <v>Alexander Grant</v>
      </c>
      <c r="B49" s="3" t="str">
        <f>LEFT(Sheet1!A49,1) &amp; LEFT(Sheet1!B49,1)</f>
        <v>AG</v>
      </c>
      <c r="C49" s="3" t="str">
        <f>IF(Sheet1!D49&gt;25, "Yes", "No")</f>
        <v>No</v>
      </c>
      <c r="D49" s="3" t="str">
        <f>IF(Sheet1!D49&gt;25, Sheet1!E49, "None Applicable")</f>
        <v>None Applicable</v>
      </c>
      <c r="E49" s="3" t="str">
        <f>IF(LOWER(Sheet1!F49)="primary", "Primary", "")</f>
        <v/>
      </c>
      <c r="F49" s="3" t="str">
        <f>IF(AND(Sheet1!C49="Female", Sheet1!D49=30), "Eligible for social support funds", "Not applicable")</f>
        <v>Not applicable</v>
      </c>
      <c r="G49" s="1"/>
    </row>
    <row r="50" spans="1:7" ht="18" x14ac:dyDescent="0.2">
      <c r="A50" s="3" t="str">
        <f>Sheet1!A50 &amp; " " &amp; Sheet1!B50</f>
        <v>Henry Riley</v>
      </c>
      <c r="B50" s="3" t="str">
        <f>LEFT(Sheet1!A50,1) &amp; LEFT(Sheet1!B50,1)</f>
        <v>HR</v>
      </c>
      <c r="C50" s="3" t="str">
        <f>IF(Sheet1!D50&gt;25, "Yes", "No")</f>
        <v>Yes</v>
      </c>
      <c r="D50" s="3" t="str">
        <f>IF(Sheet1!D50&gt;25, Sheet1!E50, "None Applicable")</f>
        <v>h.riley@randatmail.com</v>
      </c>
      <c r="E50" s="3" t="str">
        <f>IF(LOWER(Sheet1!F50)="primary", "Primary", "")</f>
        <v>Primary</v>
      </c>
      <c r="F50" s="3" t="str">
        <f>IF(AND(Sheet1!C50="Female", Sheet1!D50=30), "Eligible for social support funds", "Not applicable")</f>
        <v>Not applicable</v>
      </c>
      <c r="G50" s="1"/>
    </row>
    <row r="51" spans="1:7" ht="18" x14ac:dyDescent="0.2">
      <c r="A51" s="3" t="str">
        <f>Sheet1!A51 &amp; " " &amp; Sheet1!B51</f>
        <v>Sienna Higgins</v>
      </c>
      <c r="B51" s="3" t="str">
        <f>LEFT(Sheet1!A51,1) &amp; LEFT(Sheet1!B51,1)</f>
        <v>SH</v>
      </c>
      <c r="C51" s="3" t="str">
        <f>IF(Sheet1!D51&gt;25, "Yes", "No")</f>
        <v>Yes</v>
      </c>
      <c r="D51" s="3" t="str">
        <f>IF(Sheet1!D51&gt;25, Sheet1!E51, "None Applicable")</f>
        <v>s.higgins@randatmail.com</v>
      </c>
      <c r="E51" s="3" t="str">
        <f>IF(LOWER(Sheet1!F51)="primary", "Primary", "")</f>
        <v/>
      </c>
      <c r="F51" s="3" t="str">
        <f>IF(AND(Sheet1!C51="Female", Sheet1!D51=30), "Eligible for social support funds", "Not applicable")</f>
        <v>Not applicable</v>
      </c>
      <c r="G51" s="1"/>
    </row>
    <row r="52" spans="1:7" ht="18" x14ac:dyDescent="0.2">
      <c r="A52" s="3" t="str">
        <f>Sheet1!A52 &amp; " " &amp; Sheet1!B52</f>
        <v xml:space="preserve"> </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BBF30-6126-9C41-965C-9EBEA96AE408}">
  <dimension ref="A3:Q18"/>
  <sheetViews>
    <sheetView tabSelected="1" workbookViewId="0">
      <selection activeCell="O18" sqref="O18"/>
    </sheetView>
  </sheetViews>
  <sheetFormatPr baseColWidth="10" defaultRowHeight="16" x14ac:dyDescent="0.2"/>
  <cols>
    <col min="1" max="1" width="14.6640625" bestFit="1" customWidth="1"/>
    <col min="2" max="2" width="12.1640625" bestFit="1" customWidth="1"/>
    <col min="7" max="7" width="12.1640625" bestFit="1" customWidth="1"/>
    <col min="8" max="8" width="9.6640625" bestFit="1" customWidth="1"/>
    <col min="9" max="9" width="7.1640625" bestFit="1" customWidth="1"/>
    <col min="10" max="10" width="10.5" bestFit="1" customWidth="1"/>
    <col min="15" max="15" width="5.6640625" customWidth="1"/>
    <col min="16" max="16" width="37.1640625" customWidth="1"/>
    <col min="17" max="17" width="22.1640625" customWidth="1"/>
    <col min="19" max="19" width="12.6640625" customWidth="1"/>
    <col min="20" max="20" width="14.6640625" customWidth="1"/>
  </cols>
  <sheetData>
    <row r="3" spans="1:17" x14ac:dyDescent="0.2">
      <c r="A3" s="6" t="s">
        <v>5</v>
      </c>
      <c r="B3" t="s">
        <v>158</v>
      </c>
      <c r="G3" s="6" t="s">
        <v>158</v>
      </c>
      <c r="H3" s="6" t="s">
        <v>2</v>
      </c>
      <c r="P3" s="9" t="s">
        <v>159</v>
      </c>
      <c r="Q3" s="9" t="s">
        <v>160</v>
      </c>
    </row>
    <row r="4" spans="1:17" x14ac:dyDescent="0.2">
      <c r="A4" s="7" t="s">
        <v>48</v>
      </c>
      <c r="B4">
        <v>68557</v>
      </c>
      <c r="G4" s="6" t="s">
        <v>3</v>
      </c>
      <c r="H4" t="s">
        <v>10</v>
      </c>
      <c r="I4" t="s">
        <v>8</v>
      </c>
      <c r="J4" t="s">
        <v>157</v>
      </c>
      <c r="P4" s="8" t="s">
        <v>66</v>
      </c>
      <c r="Q4" s="8">
        <f>COUNTIF(Sheet2!F2:F51, "Eligible for social support funds")</f>
        <v>3</v>
      </c>
    </row>
    <row r="5" spans="1:17" x14ac:dyDescent="0.2">
      <c r="A5" s="7" t="s">
        <v>46</v>
      </c>
      <c r="B5">
        <v>41018</v>
      </c>
      <c r="G5" s="7">
        <v>18</v>
      </c>
      <c r="H5" s="11">
        <v>24138</v>
      </c>
      <c r="I5" s="11">
        <v>15000</v>
      </c>
      <c r="J5" s="11">
        <v>39138</v>
      </c>
      <c r="P5" s="8" t="s">
        <v>67</v>
      </c>
      <c r="Q5" s="8">
        <f>COUNTIF(Sheet2!C2:C51, "Yes")</f>
        <v>21</v>
      </c>
    </row>
    <row r="6" spans="1:17" x14ac:dyDescent="0.2">
      <c r="A6" s="7" t="s">
        <v>60</v>
      </c>
      <c r="B6">
        <v>45107</v>
      </c>
      <c r="G6" s="7">
        <v>19</v>
      </c>
      <c r="H6" s="11">
        <v>23804</v>
      </c>
      <c r="I6" s="11">
        <v>1896</v>
      </c>
      <c r="J6" s="11">
        <v>25700</v>
      </c>
    </row>
    <row r="7" spans="1:17" x14ac:dyDescent="0.2">
      <c r="A7" s="7" t="s">
        <v>44</v>
      </c>
      <c r="B7">
        <v>40461</v>
      </c>
      <c r="G7" s="7">
        <v>20</v>
      </c>
      <c r="H7" s="11">
        <v>20636</v>
      </c>
      <c r="I7" s="11"/>
      <c r="J7" s="11">
        <v>20636</v>
      </c>
    </row>
    <row r="8" spans="1:17" x14ac:dyDescent="0.2">
      <c r="A8" s="7" t="s">
        <v>47</v>
      </c>
      <c r="B8">
        <v>47427</v>
      </c>
      <c r="G8" s="7">
        <v>21</v>
      </c>
      <c r="H8" s="11">
        <v>13414</v>
      </c>
      <c r="I8" s="11">
        <v>11394</v>
      </c>
      <c r="J8" s="11">
        <v>24808</v>
      </c>
    </row>
    <row r="9" spans="1:17" x14ac:dyDescent="0.2">
      <c r="A9" s="7" t="s">
        <v>45</v>
      </c>
      <c r="B9">
        <v>49577</v>
      </c>
      <c r="G9" s="7">
        <v>22</v>
      </c>
      <c r="H9" s="11">
        <v>6234</v>
      </c>
      <c r="I9" s="11">
        <v>12228</v>
      </c>
      <c r="J9" s="11">
        <v>18462</v>
      </c>
    </row>
    <row r="10" spans="1:17" x14ac:dyDescent="0.2">
      <c r="A10" s="7" t="s">
        <v>157</v>
      </c>
      <c r="B10">
        <v>292147</v>
      </c>
      <c r="G10" s="7">
        <v>23</v>
      </c>
      <c r="H10" s="11"/>
      <c r="I10" s="11">
        <v>6839</v>
      </c>
      <c r="J10" s="11">
        <v>6839</v>
      </c>
      <c r="P10" s="10" t="s">
        <v>5</v>
      </c>
      <c r="Q10" s="10" t="s">
        <v>65</v>
      </c>
    </row>
    <row r="11" spans="1:17" x14ac:dyDescent="0.2">
      <c r="G11" s="7">
        <v>24</v>
      </c>
      <c r="H11" s="11">
        <v>10930</v>
      </c>
      <c r="I11" s="11"/>
      <c r="J11" s="11">
        <v>10930</v>
      </c>
      <c r="P11" s="8" t="s">
        <v>60</v>
      </c>
      <c r="Q11" s="8">
        <f>AVERAGEIF(Sheet1!F2:F51, P11, Sheet1!G2:G51)</f>
        <v>5011.8888888888887</v>
      </c>
    </row>
    <row r="12" spans="1:17" x14ac:dyDescent="0.2">
      <c r="G12" s="7">
        <v>25</v>
      </c>
      <c r="H12" s="11">
        <v>7275</v>
      </c>
      <c r="I12" s="11">
        <v>18214</v>
      </c>
      <c r="J12" s="11">
        <v>25489</v>
      </c>
    </row>
    <row r="13" spans="1:17" x14ac:dyDescent="0.2">
      <c r="G13" s="7">
        <v>26</v>
      </c>
      <c r="H13" s="11">
        <v>17759</v>
      </c>
      <c r="I13" s="11">
        <v>1272</v>
      </c>
      <c r="J13" s="11">
        <v>19031</v>
      </c>
    </row>
    <row r="14" spans="1:17" x14ac:dyDescent="0.2">
      <c r="G14" s="7">
        <v>27</v>
      </c>
      <c r="H14" s="11">
        <v>14567</v>
      </c>
      <c r="I14" s="11">
        <v>8133</v>
      </c>
      <c r="J14" s="11">
        <v>22700</v>
      </c>
    </row>
    <row r="15" spans="1:17" x14ac:dyDescent="0.2">
      <c r="G15" s="7">
        <v>28</v>
      </c>
      <c r="H15" s="11">
        <v>8070</v>
      </c>
      <c r="I15" s="11">
        <v>15831</v>
      </c>
      <c r="J15" s="11">
        <v>23901</v>
      </c>
    </row>
    <row r="16" spans="1:17" x14ac:dyDescent="0.2">
      <c r="G16" s="7">
        <v>29</v>
      </c>
      <c r="H16" s="11">
        <v>9027</v>
      </c>
      <c r="I16" s="11">
        <v>15550</v>
      </c>
      <c r="J16" s="11">
        <v>24577</v>
      </c>
    </row>
    <row r="17" spans="7:10" x14ac:dyDescent="0.2">
      <c r="G17" s="7">
        <v>30</v>
      </c>
      <c r="H17" s="11">
        <v>17447</v>
      </c>
      <c r="I17" s="11">
        <v>12489</v>
      </c>
      <c r="J17" s="11">
        <v>29936</v>
      </c>
    </row>
    <row r="18" spans="7:10" x14ac:dyDescent="0.2">
      <c r="G18" s="7" t="s">
        <v>157</v>
      </c>
      <c r="H18" s="11">
        <v>173301</v>
      </c>
      <c r="I18" s="11">
        <v>118846</v>
      </c>
      <c r="J18" s="11">
        <v>292147</v>
      </c>
    </row>
  </sheetData>
  <dataValidations count="1">
    <dataValidation type="list" allowBlank="1" showInputMessage="1" showErrorMessage="1" sqref="P11" xr:uid="{4CC0A3B4-5766-5845-BD63-1DA4E6BFE53D}">
      <formula1>$A$4:$A$9</formula1>
    </dataValidation>
  </dataValidations>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Rojan.Garbuja Pun</dc:creator>
  <cp:lastModifiedBy>Rojan.Garbuja Pun</cp:lastModifiedBy>
  <dcterms:created xsi:type="dcterms:W3CDTF">2025-04-30T05:13:59Z</dcterms:created>
  <dcterms:modified xsi:type="dcterms:W3CDTF">2025-05-02T12:19:28Z</dcterms:modified>
</cp:coreProperties>
</file>